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Me\Portfolio\"/>
    </mc:Choice>
  </mc:AlternateContent>
  <xr:revisionPtr revIDLastSave="0" documentId="13_ncr:1_{582D2D52-8E46-4C2A-928E-85899F7CBD6E}" xr6:coauthVersionLast="47" xr6:coauthVersionMax="47" xr10:uidLastSave="{00000000-0000-0000-0000-000000000000}"/>
  <bookViews>
    <workbookView xWindow="-110" yWindow="-110" windowWidth="19420" windowHeight="10300" tabRatio="500" firstSheet="3" activeTab="3" xr2:uid="{00000000-000D-0000-FFFF-FFFF00000000}"/>
  </bookViews>
  <sheets>
    <sheet name="Cover" sheetId="1" r:id="rId1"/>
    <sheet name="Assumptions" sheetId="2" r:id="rId2"/>
    <sheet name="Income Statement" sheetId="3" r:id="rId3"/>
    <sheet name="Balance Sheet" sheetId="4" r:id="rId4"/>
    <sheet name="Cash Flow" sheetId="5" r:id="rId5"/>
    <sheet name="KPI Dashboard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6" i="4" l="1"/>
  <c r="G6" i="4"/>
  <c r="H18" i="3"/>
  <c r="G18" i="3"/>
  <c r="H23" i="3"/>
  <c r="G23" i="3"/>
  <c r="C28" i="6"/>
  <c r="E27" i="6"/>
  <c r="D27" i="6"/>
  <c r="C27" i="6"/>
  <c r="B27" i="6"/>
  <c r="E23" i="6"/>
  <c r="D23" i="6"/>
  <c r="C23" i="6"/>
  <c r="B23" i="6"/>
  <c r="C22" i="6"/>
  <c r="E21" i="6"/>
  <c r="D21" i="6"/>
  <c r="C21" i="6"/>
  <c r="B21" i="6"/>
  <c r="D11" i="6"/>
  <c r="E8" i="6"/>
  <c r="D8" i="6"/>
  <c r="C8" i="6"/>
  <c r="E7" i="6"/>
  <c r="D7" i="6"/>
  <c r="C7" i="6"/>
  <c r="B7" i="6"/>
  <c r="F31" i="5"/>
  <c r="E22" i="6" s="1"/>
  <c r="E31" i="5"/>
  <c r="D22" i="6" s="1"/>
  <c r="D31" i="5"/>
  <c r="C31" i="5"/>
  <c r="B22" i="6" s="1"/>
  <c r="G27" i="5"/>
  <c r="H24" i="5"/>
  <c r="H22" i="5"/>
  <c r="G22" i="5"/>
  <c r="G24" i="5" s="1"/>
  <c r="H8" i="5"/>
  <c r="G8" i="5"/>
  <c r="F38" i="4"/>
  <c r="E29" i="6" s="1"/>
  <c r="E38" i="4"/>
  <c r="D29" i="6" s="1"/>
  <c r="D38" i="4"/>
  <c r="C29" i="6" s="1"/>
  <c r="C38" i="4"/>
  <c r="B29" i="6" s="1"/>
  <c r="G36" i="4"/>
  <c r="H36" i="4" s="1"/>
  <c r="C33" i="4"/>
  <c r="C40" i="4" s="1"/>
  <c r="G31" i="4"/>
  <c r="F31" i="4"/>
  <c r="G29" i="3" s="1"/>
  <c r="E31" i="4"/>
  <c r="D31" i="4"/>
  <c r="C31" i="4"/>
  <c r="G30" i="4"/>
  <c r="H30" i="4" s="1"/>
  <c r="G29" i="4"/>
  <c r="F26" i="4"/>
  <c r="F33" i="4" s="1"/>
  <c r="F40" i="4" s="1"/>
  <c r="E26" i="4"/>
  <c r="E33" i="4" s="1"/>
  <c r="E40" i="4" s="1"/>
  <c r="D26" i="4"/>
  <c r="D33" i="4" s="1"/>
  <c r="D40" i="4" s="1"/>
  <c r="C26" i="4"/>
  <c r="G25" i="4"/>
  <c r="H25" i="4" s="1"/>
  <c r="H24" i="4"/>
  <c r="G24" i="4"/>
  <c r="F19" i="4"/>
  <c r="E26" i="6" s="1"/>
  <c r="F17" i="4"/>
  <c r="E17" i="4"/>
  <c r="E19" i="4" s="1"/>
  <c r="D17" i="4"/>
  <c r="D19" i="4" s="1"/>
  <c r="C17" i="4"/>
  <c r="G15" i="4"/>
  <c r="H15" i="4" s="1"/>
  <c r="F11" i="4"/>
  <c r="E28" i="6" s="1"/>
  <c r="E11" i="4"/>
  <c r="D28" i="6" s="1"/>
  <c r="D11" i="4"/>
  <c r="C11" i="4"/>
  <c r="C19" i="4" s="1"/>
  <c r="G7" i="4"/>
  <c r="H7" i="4" s="1"/>
  <c r="H37" i="3"/>
  <c r="G37" i="3"/>
  <c r="H30" i="3"/>
  <c r="G30" i="3"/>
  <c r="C25" i="3"/>
  <c r="B16" i="6" s="1"/>
  <c r="C24" i="3"/>
  <c r="B15" i="6" s="1"/>
  <c r="F19" i="3"/>
  <c r="E19" i="3"/>
  <c r="D19" i="3"/>
  <c r="C19" i="3"/>
  <c r="C13" i="3"/>
  <c r="B12" i="6" s="1"/>
  <c r="F12" i="3"/>
  <c r="F21" i="3" s="1"/>
  <c r="E12" i="3"/>
  <c r="E21" i="3" s="1"/>
  <c r="D12" i="3"/>
  <c r="C11" i="6" s="1"/>
  <c r="C12" i="3"/>
  <c r="B11" i="6" s="1"/>
  <c r="G9" i="3"/>
  <c r="G17" i="3" s="1"/>
  <c r="H8" i="3"/>
  <c r="G8" i="3"/>
  <c r="H7" i="3"/>
  <c r="G7" i="3"/>
  <c r="G6" i="3"/>
  <c r="H6" i="3" s="1"/>
  <c r="H9" i="3" s="1"/>
  <c r="D42" i="4" l="1"/>
  <c r="C26" i="6"/>
  <c r="D26" i="6"/>
  <c r="E42" i="4"/>
  <c r="C42" i="4"/>
  <c r="B26" i="6"/>
  <c r="H12" i="3"/>
  <c r="G7" i="6"/>
  <c r="H23" i="4"/>
  <c r="H16" i="4"/>
  <c r="H8" i="4"/>
  <c r="H16" i="5"/>
  <c r="H18" i="5" s="1"/>
  <c r="G8" i="6"/>
  <c r="H17" i="3"/>
  <c r="H11" i="3"/>
  <c r="H10" i="4"/>
  <c r="H7" i="5"/>
  <c r="H16" i="3"/>
  <c r="E22" i="3"/>
  <c r="D14" i="6" s="1"/>
  <c r="D13" i="6"/>
  <c r="F22" i="3"/>
  <c r="E14" i="6" s="1"/>
  <c r="E13" i="6"/>
  <c r="D13" i="3"/>
  <c r="C12" i="6" s="1"/>
  <c r="D24" i="3"/>
  <c r="F42" i="4"/>
  <c r="F8" i="6"/>
  <c r="B28" i="6"/>
  <c r="E11" i="6"/>
  <c r="H29" i="4"/>
  <c r="E13" i="3"/>
  <c r="D12" i="6" s="1"/>
  <c r="C21" i="3"/>
  <c r="E24" i="3"/>
  <c r="C31" i="3"/>
  <c r="C33" i="3" s="1"/>
  <c r="G8" i="4"/>
  <c r="G16" i="4"/>
  <c r="G23" i="4"/>
  <c r="G16" i="5"/>
  <c r="G18" i="5" s="1"/>
  <c r="F13" i="3"/>
  <c r="E12" i="6" s="1"/>
  <c r="D21" i="3"/>
  <c r="F24" i="3"/>
  <c r="F7" i="6"/>
  <c r="G16" i="3"/>
  <c r="G7" i="5"/>
  <c r="G10" i="4"/>
  <c r="G11" i="3"/>
  <c r="G28" i="3" l="1"/>
  <c r="G9" i="5"/>
  <c r="H28" i="3"/>
  <c r="G11" i="6"/>
  <c r="H13" i="3"/>
  <c r="G12" i="6" s="1"/>
  <c r="B17" i="6"/>
  <c r="B30" i="6"/>
  <c r="C34" i="3"/>
  <c r="B18" i="6" s="1"/>
  <c r="C38" i="3"/>
  <c r="B32" i="6" s="1"/>
  <c r="E31" i="3"/>
  <c r="E33" i="3" s="1"/>
  <c r="D15" i="6"/>
  <c r="E25" i="3"/>
  <c r="D16" i="6" s="1"/>
  <c r="H19" i="3"/>
  <c r="H24" i="3" s="1"/>
  <c r="H9" i="5"/>
  <c r="F31" i="3"/>
  <c r="F33" i="3" s="1"/>
  <c r="E15" i="6"/>
  <c r="F25" i="3"/>
  <c r="E16" i="6" s="1"/>
  <c r="G9" i="4"/>
  <c r="G10" i="5" s="1"/>
  <c r="G22" i="4"/>
  <c r="G12" i="3"/>
  <c r="C13" i="6"/>
  <c r="D22" i="3"/>
  <c r="C14" i="6" s="1"/>
  <c r="B13" i="6"/>
  <c r="C22" i="3"/>
  <c r="B14" i="6" s="1"/>
  <c r="D25" i="3"/>
  <c r="C16" i="6" s="1"/>
  <c r="C15" i="6"/>
  <c r="D31" i="3"/>
  <c r="D33" i="3" s="1"/>
  <c r="G19" i="3"/>
  <c r="H31" i="4"/>
  <c r="H29" i="3" s="1"/>
  <c r="G14" i="4"/>
  <c r="H9" i="4"/>
  <c r="H10" i="5" s="1"/>
  <c r="H22" i="4"/>
  <c r="H21" i="3" l="1"/>
  <c r="H22" i="3" s="1"/>
  <c r="G14" i="6" s="1"/>
  <c r="G15" i="6"/>
  <c r="H25" i="3"/>
  <c r="G16" i="6" s="1"/>
  <c r="H31" i="3"/>
  <c r="F11" i="6"/>
  <c r="G24" i="3"/>
  <c r="G13" i="3"/>
  <c r="F12" i="6" s="1"/>
  <c r="G21" i="3"/>
  <c r="H14" i="4"/>
  <c r="H17" i="4" s="1"/>
  <c r="G17" i="4"/>
  <c r="C17" i="6"/>
  <c r="C30" i="6"/>
  <c r="D38" i="3"/>
  <c r="C32" i="6" s="1"/>
  <c r="D34" i="3"/>
  <c r="C18" i="6" s="1"/>
  <c r="G26" i="4"/>
  <c r="G33" i="4" s="1"/>
  <c r="G11" i="5"/>
  <c r="H11" i="5"/>
  <c r="H26" i="4"/>
  <c r="H33" i="4" s="1"/>
  <c r="D30" i="6"/>
  <c r="E38" i="3"/>
  <c r="D32" i="6" s="1"/>
  <c r="E34" i="3"/>
  <c r="D18" i="6" s="1"/>
  <c r="D17" i="6"/>
  <c r="E30" i="6"/>
  <c r="F38" i="3"/>
  <c r="E32" i="6" s="1"/>
  <c r="F34" i="3"/>
  <c r="E18" i="6" s="1"/>
  <c r="E17" i="6"/>
  <c r="G13" i="6" l="1"/>
  <c r="G22" i="3"/>
  <c r="F14" i="6" s="1"/>
  <c r="F13" i="6"/>
  <c r="G31" i="3"/>
  <c r="F15" i="6"/>
  <c r="G25" i="3"/>
  <c r="F16" i="6" s="1"/>
  <c r="H32" i="3"/>
  <c r="H33" i="3" s="1"/>
  <c r="H38" i="3" l="1"/>
  <c r="G32" i="6" s="1"/>
  <c r="H34" i="3"/>
  <c r="G18" i="6" s="1"/>
  <c r="G17" i="6"/>
  <c r="H6" i="5"/>
  <c r="H13" i="5" s="1"/>
  <c r="G32" i="3"/>
  <c r="G33" i="3" s="1"/>
  <c r="G6" i="5" l="1"/>
  <c r="G13" i="5" s="1"/>
  <c r="G38" i="3"/>
  <c r="F32" i="6" s="1"/>
  <c r="G34" i="3"/>
  <c r="F18" i="6" s="1"/>
  <c r="F17" i="6"/>
  <c r="G37" i="4"/>
  <c r="H26" i="5"/>
  <c r="H30" i="5"/>
  <c r="G21" i="6" l="1"/>
  <c r="H31" i="5"/>
  <c r="G22" i="6" s="1"/>
  <c r="H37" i="4"/>
  <c r="H38" i="4" s="1"/>
  <c r="G38" i="4"/>
  <c r="G30" i="5"/>
  <c r="G26" i="5"/>
  <c r="G28" i="5" s="1"/>
  <c r="F29" i="6" l="1"/>
  <c r="G40" i="4"/>
  <c r="F30" i="6"/>
  <c r="F21" i="6"/>
  <c r="G31" i="5"/>
  <c r="F22" i="6" s="1"/>
  <c r="G29" i="6"/>
  <c r="H40" i="4"/>
  <c r="G30" i="6"/>
  <c r="G23" i="6"/>
  <c r="H11" i="4"/>
  <c r="G27" i="6"/>
  <c r="H27" i="5" l="1"/>
  <c r="H28" i="5" s="1"/>
  <c r="G11" i="4"/>
  <c r="F23" i="6"/>
  <c r="F27" i="6"/>
  <c r="H19" i="4"/>
  <c r="G28" i="6"/>
  <c r="H42" i="4" l="1"/>
  <c r="G26" i="6"/>
  <c r="G19" i="4"/>
  <c r="F28" i="6"/>
  <c r="G42" i="4" l="1"/>
  <c r="F26" i="6"/>
</calcChain>
</file>

<file path=xl/sharedStrings.xml><?xml version="1.0" encoding="utf-8"?>
<sst xmlns="http://schemas.openxmlformats.org/spreadsheetml/2006/main" count="262" uniqueCount="222">
  <si>
    <t>SEA LIMITED (NYSE: SE)</t>
  </si>
  <si>
    <t>Three-Statement Integrated Financial Model  |  FY2021A–FY2026F</t>
  </si>
  <si>
    <t>MODEL OVERVIEW</t>
  </si>
  <si>
    <t>Company</t>
  </si>
  <si>
    <t>Sea Limited</t>
  </si>
  <si>
    <t>Ticker</t>
  </si>
  <si>
    <t>NYSE: SE</t>
  </si>
  <si>
    <t>Currency</t>
  </si>
  <si>
    <t>USD Millions</t>
  </si>
  <si>
    <t>Fiscal Year End</t>
  </si>
  <si>
    <t>December 31</t>
  </si>
  <si>
    <t>Historical Data</t>
  </si>
  <si>
    <t>FY2021A – FY2024A (Approximate; verify from 20-F)</t>
  </si>
  <si>
    <t>Projection Period</t>
  </si>
  <si>
    <t>FY2025F – FY2026F (Assumptions-driven)</t>
  </si>
  <si>
    <t>Model Built</t>
  </si>
  <si>
    <t>Q2 2026</t>
  </si>
  <si>
    <t>Analyst</t>
  </si>
  <si>
    <t>Aung Khant Zaw</t>
  </si>
  <si>
    <t>WORKSHEET NAVIGATION</t>
  </si>
  <si>
    <t>Assumptions</t>
  </si>
  <si>
    <t>All model inputs and assumptions</t>
  </si>
  <si>
    <t>Income Statement</t>
  </si>
  <si>
    <t>P&amp;L: Revenue → Gross Profit → EBITDA → Net Income</t>
  </si>
  <si>
    <t>Balance Sheet</t>
  </si>
  <si>
    <t>Assets, Liabilities &amp; Stockholders' Equity</t>
  </si>
  <si>
    <t>Cash Flow</t>
  </si>
  <si>
    <t>Operating / Investing / Financing + FCF</t>
  </si>
  <si>
    <t>KPI Dashboard</t>
  </si>
  <si>
    <t>Summary metrics, margins, ratios across all years</t>
  </si>
  <si>
    <t>COLOR KEY</t>
  </si>
  <si>
    <t>Blue text</t>
  </si>
  <si>
    <t>Hardcoded historical inputs – verify from source filings</t>
  </si>
  <si>
    <t>Black text</t>
  </si>
  <si>
    <t>Formulas calculated within the same sheet</t>
  </si>
  <si>
    <t>Green text</t>
  </si>
  <si>
    <t>Formulas linking across sheets (e.g., IS → CFS)</t>
  </si>
  <si>
    <t>Yellow bg</t>
  </si>
  <si>
    <t>Key assumptions requiring attention or update</t>
  </si>
  <si>
    <t>DISCLAIMER: All historical financial data are approximate figures sourced from Sea Limited 20-F Annual Reports. Users must verify all figures from official SEC EDGAR filings before use in any investment decision. This model is built for educational and portfolio demonstration purposes only.</t>
  </si>
  <si>
    <t>SEA LIMITED (SE) — MODEL ASSUMPTIONS</t>
  </si>
  <si>
    <t>Category</t>
  </si>
  <si>
    <t>Assumption</t>
  </si>
  <si>
    <t>FY2025F</t>
  </si>
  <si>
    <t>FY2026F</t>
  </si>
  <si>
    <t>Notes</t>
  </si>
  <si>
    <t>Color Key:  Blue = Hardcoded Input  |  Black = Formula  |  Green = Cross-sheet Link</t>
  </si>
  <si>
    <t>REVENUE ASSUMPTIONS</t>
  </si>
  <si>
    <t>Revenue</t>
  </si>
  <si>
    <t>Garena (Digital Entertainment) Growth</t>
  </si>
  <si>
    <t>Continued user decline; Free Fire maturing</t>
  </si>
  <si>
    <t>Shopee (E-Commerce) Growth</t>
  </si>
  <si>
    <t>Strong SEA e-comm penetration continues</t>
  </si>
  <si>
    <t>SeaMoney (Digital Fin Services) Growth</t>
  </si>
  <si>
    <t>Fintech scaling; SPayLater &amp; insurance growth</t>
  </si>
  <si>
    <t>INCOME STATEMENT MARGIN ASSUMPTIONS</t>
  </si>
  <si>
    <t>Margins</t>
  </si>
  <si>
    <t>Cost of Revenue (% of Revenue)</t>
  </si>
  <si>
    <t>Slight improvement as Shopee scales</t>
  </si>
  <si>
    <t>Sales &amp; Marketing (% of Revenue)</t>
  </si>
  <si>
    <t>Marketing efficiency gains</t>
  </si>
  <si>
    <t>Research &amp; Development (% of Revenue)</t>
  </si>
  <si>
    <t>R&amp;D leverage on larger revenue base</t>
  </si>
  <si>
    <t>General &amp; Administrative (% of Revenue)</t>
  </si>
  <si>
    <t>G&amp;A leverage</t>
  </si>
  <si>
    <t>Depreciation &amp; Amortization (% of Rev)</t>
  </si>
  <si>
    <t>Asset base stabilizing</t>
  </si>
  <si>
    <t>BELOW-THE-LINE ASSUMPTIONS</t>
  </si>
  <si>
    <t>Below Line</t>
  </si>
  <si>
    <t>Interest Income (% of avg. Cash)</t>
  </si>
  <si>
    <t>Treasury yield assumption</t>
  </si>
  <si>
    <t>Interest Expense (% of avg. LT Debt)</t>
  </si>
  <si>
    <t>Weighted avg cost of debt</t>
  </si>
  <si>
    <t>Other Income/(Expense) – USD mm</t>
  </si>
  <si>
    <t>Forex gains, misc income</t>
  </si>
  <si>
    <t>Effective Tax Rate</t>
  </si>
  <si>
    <t>Low rate – regional tax exemptions</t>
  </si>
  <si>
    <t>BALANCE SHEET ASSUMPTIONS</t>
  </si>
  <si>
    <t>Working Capital</t>
  </si>
  <si>
    <t>Days Sales Outstanding (DSO) – days</t>
  </si>
  <si>
    <t>AR collection; fast digital payments</t>
  </si>
  <si>
    <t>Days Inventory Outstanding (DIO) – days</t>
  </si>
  <si>
    <t>Low inventory (mainly Shopee Mall)</t>
  </si>
  <si>
    <t>Days Payable Outstanding (DPO) – days</t>
  </si>
  <si>
    <t>Seller payment terms</t>
  </si>
  <si>
    <t>CapEx</t>
  </si>
  <si>
    <t>Capital Expenditure (% of Revenue)</t>
  </si>
  <si>
    <t>Servers, logistics, offices</t>
  </si>
  <si>
    <t>Financing</t>
  </si>
  <si>
    <t>LT Debt Repayment – USD mm (annual)</t>
  </si>
  <si>
    <t>Scheduled principal repayments</t>
  </si>
  <si>
    <t>Stock-Based Compensation – USD mm (annual)</t>
  </si>
  <si>
    <t>SBC cash add-back in CFS</t>
  </si>
  <si>
    <t>APIC Increase from SBC – USD mm (annual)</t>
  </si>
  <si>
    <t>Offsets SBC expense in equity</t>
  </si>
  <si>
    <t>REFERENCE DATA</t>
  </si>
  <si>
    <t>Reference</t>
  </si>
  <si>
    <t>Diluted Shares Outstanding – mm</t>
  </si>
  <si>
    <t>Approximate; verify from 20-F</t>
  </si>
  <si>
    <t>WACC (for DCF reference only)</t>
  </si>
  <si>
    <t>10-12% range; verify with CAPM</t>
  </si>
  <si>
    <t>⚠  All historical figures are approximate – please verify from Sea Limited 20-F Annual Reports (SEC EDGAR: https://www.sec.gov/cgi-bin/browse-edgar?action=getcompany&amp;CIK=SE)</t>
  </si>
  <si>
    <t>SEA LIMITED (NYSE: SE) — INCOME STATEMENT  |  USD Millions</t>
  </si>
  <si>
    <t>FY2021A</t>
  </si>
  <si>
    <t>FY2022A</t>
  </si>
  <si>
    <t>FY2023A</t>
  </si>
  <si>
    <t>FY2024A</t>
  </si>
  <si>
    <t>(USD millions, except per share data)</t>
  </si>
  <si>
    <t>REVENUE</t>
  </si>
  <si>
    <t xml:space="preserve">  Digital Entertainment (Garena)</t>
  </si>
  <si>
    <t xml:space="preserve">  E-Commerce (Shopee)</t>
  </si>
  <si>
    <t xml:space="preserve">  Digital Financial Services (SeaMoney)</t>
  </si>
  <si>
    <t>Total Revenue</t>
  </si>
  <si>
    <t>COST &amp; GROSS PROFIT</t>
  </si>
  <si>
    <t>Cost of Revenue</t>
  </si>
  <si>
    <t>Gross Profit</t>
  </si>
  <si>
    <t xml:space="preserve">  Gross Margin %</t>
  </si>
  <si>
    <t>OPERATING EXPENSES</t>
  </si>
  <si>
    <t>Sales &amp; Marketing</t>
  </si>
  <si>
    <t>Research &amp; Development</t>
  </si>
  <si>
    <t>General &amp; Administrative</t>
  </si>
  <si>
    <t>Total Operating Expenses</t>
  </si>
  <si>
    <t>PROFITABILITY</t>
  </si>
  <si>
    <t>EBITDA</t>
  </si>
  <si>
    <t xml:space="preserve">  EBITDA Margin %</t>
  </si>
  <si>
    <t xml:space="preserve">  Depreciation &amp; Amortization</t>
  </si>
  <si>
    <t>EBIT (Operating Income)</t>
  </si>
  <si>
    <t xml:space="preserve">  EBIT Margin %</t>
  </si>
  <si>
    <t>BELOW THE LINE</t>
  </si>
  <si>
    <t>Interest Income</t>
  </si>
  <si>
    <t>Interest Expense</t>
  </si>
  <si>
    <t>Other Income/(Expense), net</t>
  </si>
  <si>
    <t>Earnings Before Tax (EBT)</t>
  </si>
  <si>
    <t>Income Tax Expense</t>
  </si>
  <si>
    <t>Net Income (Loss)</t>
  </si>
  <si>
    <t xml:space="preserve">  Net Margin %</t>
  </si>
  <si>
    <t>PER SHARE DATA</t>
  </si>
  <si>
    <t>Diluted Shares Outstanding (mm)</t>
  </si>
  <si>
    <t>Earnings Per Share (diluted) – USD</t>
  </si>
  <si>
    <t>Source: Sea Limited 20-F Annual Reports (approximate – verify exact figures from SEC EDGAR)</t>
  </si>
  <si>
    <t>SEA LIMITED (NYSE: SE) — BALANCE SHEET  |  USD Millions</t>
  </si>
  <si>
    <t>(USD millions)</t>
  </si>
  <si>
    <t>ASSETS</t>
  </si>
  <si>
    <t xml:space="preserve">  Cash &amp; Cash Equivalents</t>
  </si>
  <si>
    <t xml:space="preserve">  Restricted Cash</t>
  </si>
  <si>
    <t xml:space="preserve">  Accounts Receivable, net</t>
  </si>
  <si>
    <t xml:space="preserve">  Inventories</t>
  </si>
  <si>
    <t xml:space="preserve">  Other Current Assets</t>
  </si>
  <si>
    <t>Total Current Assets</t>
  </si>
  <si>
    <t>NON-CURRENT ASSETS</t>
  </si>
  <si>
    <t xml:space="preserve">  Property &amp; Equipment, net</t>
  </si>
  <si>
    <t xml:space="preserve">  Intangibles &amp; Goodwill</t>
  </si>
  <si>
    <t xml:space="preserve">  Other Non-Current Assets</t>
  </si>
  <si>
    <t>Total Non-Current Assets</t>
  </si>
  <si>
    <t>TOTAL ASSETS</t>
  </si>
  <si>
    <t>LIABILITIES</t>
  </si>
  <si>
    <t xml:space="preserve">  Accounts Payable</t>
  </si>
  <si>
    <t xml:space="preserve">  Accrued Expenses &amp; Other</t>
  </si>
  <si>
    <t xml:space="preserve">  Deferred Revenue</t>
  </si>
  <si>
    <t xml:space="preserve">  Short-term Borrowings</t>
  </si>
  <si>
    <t>Total Current Liabilities</t>
  </si>
  <si>
    <t>NON-CURRENT LIABILITIES</t>
  </si>
  <si>
    <t xml:space="preserve">  Long-term Debt</t>
  </si>
  <si>
    <t xml:space="preserve">  Other Non-Current Liabilities</t>
  </si>
  <si>
    <t>Total Non-Current Liabilities</t>
  </si>
  <si>
    <t>TOTAL LIABILITIES</t>
  </si>
  <si>
    <t>STOCKHOLDERS' EQUITY</t>
  </si>
  <si>
    <t xml:space="preserve">  Common Stock &amp; Additional Paid-In Capital</t>
  </si>
  <si>
    <t xml:space="preserve">  Retained Earnings (Accumulated Deficit)</t>
  </si>
  <si>
    <t>Total Stockholders' Equity</t>
  </si>
  <si>
    <t>TOTAL LIABILITIES &amp; EQUITY</t>
  </si>
  <si>
    <t>Balance Check (Assets – L&amp;E)  →  Must = 0 for projection years</t>
  </si>
  <si>
    <t>SEA LIMITED (NYSE: SE) — CASH FLOW STATEMENT  |  USD Millions</t>
  </si>
  <si>
    <t>OPERATING ACTIVITIES</t>
  </si>
  <si>
    <t xml:space="preserve">  Add: Depreciation &amp; Amortization</t>
  </si>
  <si>
    <t xml:space="preserve">  Add: Stock-Based Compensation (non-cash)</t>
  </si>
  <si>
    <t xml:space="preserve">  (Increase)/Decrease in Accounts Receivable</t>
  </si>
  <si>
    <t xml:space="preserve">  (Increase)/Decrease in Inventories</t>
  </si>
  <si>
    <t xml:space="preserve">  Increase/(Decrease) in Accounts Payable</t>
  </si>
  <si>
    <t xml:space="preserve">  Changes in Other Working Capital &amp; Other</t>
  </si>
  <si>
    <t>Net Cash from Operating Activities</t>
  </si>
  <si>
    <t>INVESTING ACTIVITIES</t>
  </si>
  <si>
    <t xml:space="preserve">  Capital Expenditures</t>
  </si>
  <si>
    <t xml:space="preserve">  Acquisitions &amp; Investments, net</t>
  </si>
  <si>
    <t>Net Cash from Investing Activities</t>
  </si>
  <si>
    <t>FINANCING ACTIVITIES</t>
  </si>
  <si>
    <t xml:space="preserve">  Proceeds from Long-term Debt Issuance</t>
  </si>
  <si>
    <t xml:space="preserve">  Repayment of Long-term Debt</t>
  </si>
  <si>
    <t xml:space="preserve">  Proceeds from Stock Issuance &amp; Other</t>
  </si>
  <si>
    <t>Net Cash from Financing Activities</t>
  </si>
  <si>
    <t>Net Increase/(Decrease) in Cash</t>
  </si>
  <si>
    <t>Beginning Cash &amp; Cash Equivalents</t>
  </si>
  <si>
    <t>Ending Cash &amp; Cash Equivalents</t>
  </si>
  <si>
    <t>FREE CASH FLOW</t>
  </si>
  <si>
    <t>Free Cash Flow (CFO + CapEx)</t>
  </si>
  <si>
    <t xml:space="preserve">  FCF Margin %</t>
  </si>
  <si>
    <t>SEA LIMITED (NYSE: SE) — KPI DASHBOARD  |  USD Millions</t>
  </si>
  <si>
    <t>FY2021A–FY2026F Summary  |  All figures in USD millions  |  Approximate historical data – verify from 20-F</t>
  </si>
  <si>
    <t>KPI</t>
  </si>
  <si>
    <t>Revenue (USD mm)</t>
  </si>
  <si>
    <t xml:space="preserve">  YoY Revenue Growth</t>
  </si>
  <si>
    <t>n/m</t>
  </si>
  <si>
    <t>Gross Profit (USD mm)</t>
  </si>
  <si>
    <t>Gross Margin %</t>
  </si>
  <si>
    <t>EBITDA (USD mm)</t>
  </si>
  <si>
    <t>EBITDA Margin %</t>
  </si>
  <si>
    <t>EBIT (USD mm)</t>
  </si>
  <si>
    <t>EBIT Margin %</t>
  </si>
  <si>
    <t>Net Income (USD mm)</t>
  </si>
  <si>
    <t>Net Margin %</t>
  </si>
  <si>
    <t>CASH FLOW</t>
  </si>
  <si>
    <t>Free Cash Flow (USD mm)</t>
  </si>
  <si>
    <t>FCF Margin %</t>
  </si>
  <si>
    <t>Cash &amp; Equivalents</t>
  </si>
  <si>
    <t>BALANCE SHEET &amp; LEVERAGE</t>
  </si>
  <si>
    <t>Total Assets (USD mm)</t>
  </si>
  <si>
    <t>Net Debt (USD mm)</t>
  </si>
  <si>
    <t>Current Ratio</t>
  </si>
  <si>
    <t>Total Debt / Equity</t>
  </si>
  <si>
    <t>Return on Equity (ROE)</t>
  </si>
  <si>
    <t>Earnings Per Share – USD</t>
  </si>
  <si>
    <t>Color Key:  🔵 Blue = Hardcoded Historical Input  |  ⚫ Black = Formula  |  🟢 Green = Cross-Sheet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</si>
</sst>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;\(0.0%\);\-"/>
    <numFmt numFmtId="165" formatCode="#,##0;\(#,##0\);\-"/>
    <numFmt numFmtId="166" formatCode="#,##0.0;\(#,##0.0\);\-"/>
    <numFmt numFmtId="167" formatCode="0.0\x"/>
  </numFmts>
  <fonts count="31" x14ac:knownFonts="1">
    <font>
      <sz val="11"/>
      <color theme="1"/>
      <name val="Calibri"/>
      <family val="2"/>
      <charset val="1"/>
    </font>
    <font>
      <b/>
      <sz val="24"/>
      <color rgb="FFFFFFFF"/>
      <name val="Calibri"/>
      <family val="2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rgb="FF1B3A5C"/>
      <name val="Calibri"/>
      <family val="2"/>
    </font>
    <font>
      <sz val="10"/>
      <color rgb="FF000000"/>
      <name val="Calibri"/>
      <family val="2"/>
    </font>
    <font>
      <b/>
      <sz val="10"/>
      <color rgb="FFB8972A"/>
      <name val="Calibri"/>
      <family val="2"/>
    </font>
    <font>
      <b/>
      <sz val="10"/>
      <color rgb="FF0000FF"/>
      <name val="Calibri"/>
      <family val="2"/>
    </font>
    <font>
      <b/>
      <sz val="10"/>
      <color rgb="FF000000"/>
      <name val="Calibri"/>
      <family val="2"/>
    </font>
    <font>
      <b/>
      <sz val="10"/>
      <color rgb="FF008000"/>
      <name val="Calibri"/>
      <family val="2"/>
    </font>
    <font>
      <b/>
      <sz val="10"/>
      <color rgb="FFAA6600"/>
      <name val="Calibri"/>
      <family val="2"/>
    </font>
    <font>
      <i/>
      <sz val="9"/>
      <color rgb="FFAA0000"/>
      <name val="Calibri"/>
      <family val="2"/>
    </font>
    <font>
      <b/>
      <sz val="10"/>
      <color rgb="FFFFFFFF"/>
      <name val="Calibri"/>
      <family val="2"/>
    </font>
    <font>
      <i/>
      <sz val="8"/>
      <color rgb="FF444444"/>
      <name val="Calibri"/>
      <family val="2"/>
    </font>
    <font>
      <b/>
      <sz val="9"/>
      <color rgb="FF1B3A5C"/>
      <name val="Calibri"/>
      <family val="2"/>
    </font>
    <font>
      <sz val="9"/>
      <color rgb="FF444444"/>
      <name val="Calibri"/>
      <family val="2"/>
    </font>
    <font>
      <sz val="9"/>
      <color rgb="FF000000"/>
      <name val="Calibri"/>
      <family val="2"/>
    </font>
    <font>
      <sz val="9"/>
      <color rgb="FF0000FF"/>
      <name val="Calibri"/>
      <family val="2"/>
    </font>
    <font>
      <i/>
      <sz val="8"/>
      <color rgb="FF555555"/>
      <name val="Calibri"/>
      <family val="2"/>
    </font>
    <font>
      <i/>
      <sz val="8"/>
      <color rgb="FFAA0000"/>
      <name val="Calibri"/>
      <family val="2"/>
    </font>
    <font>
      <b/>
      <sz val="13"/>
      <color rgb="FFFFFFFF"/>
      <name val="Calibri"/>
      <family val="2"/>
    </font>
    <font>
      <b/>
      <sz val="9"/>
      <color rgb="FFFFFFFF"/>
      <name val="Calibri"/>
      <family val="2"/>
    </font>
    <font>
      <sz val="8"/>
      <color rgb="FF000000"/>
      <name val="Calibri"/>
      <family val="2"/>
    </font>
    <font>
      <sz val="9"/>
      <color rgb="FF008000"/>
      <name val="Calibri"/>
      <family val="2"/>
    </font>
    <font>
      <b/>
      <sz val="9"/>
      <color rgb="FF000000"/>
      <name val="Calibri"/>
      <family val="2"/>
    </font>
    <font>
      <i/>
      <sz val="9"/>
      <color rgb="FF444444"/>
      <name val="Calibri"/>
      <family val="2"/>
    </font>
    <font>
      <sz val="8"/>
      <color rgb="FF444444"/>
      <name val="Calibri"/>
      <family val="2"/>
    </font>
    <font>
      <b/>
      <sz val="11"/>
      <color rgb="FF1B3A5C"/>
      <name val="Calibri"/>
      <family val="2"/>
    </font>
    <font>
      <b/>
      <sz val="11"/>
      <color rgb="FF000000"/>
      <name val="Calibri"/>
      <family val="2"/>
    </font>
    <font>
      <i/>
      <sz val="9"/>
      <color rgb="FF888888"/>
      <name val="Calibri"/>
      <family val="2"/>
    </font>
    <font>
      <sz val="9"/>
      <color rgb="FF888888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B3A5C"/>
        <bgColor rgb="FF333399"/>
      </patternFill>
    </fill>
    <fill>
      <patternFill patternType="solid">
        <fgColor rgb="FFB8972A"/>
        <bgColor rgb="FFAA6600"/>
      </patternFill>
    </fill>
    <fill>
      <patternFill patternType="solid">
        <fgColor rgb="FFF5F8FB"/>
        <bgColor rgb="FFF0F2F5"/>
      </patternFill>
    </fill>
    <fill>
      <patternFill patternType="solid">
        <fgColor rgb="FFFFFFFF"/>
        <bgColor rgb="FFF5F8FB"/>
      </patternFill>
    </fill>
    <fill>
      <patternFill patternType="solid">
        <fgColor rgb="FFFFF3F3"/>
        <bgColor rgb="FFF5F8FB"/>
      </patternFill>
    </fill>
    <fill>
      <patternFill patternType="solid">
        <fgColor rgb="FFD4E0EC"/>
        <bgColor rgb="FFEAF0F7"/>
      </patternFill>
    </fill>
    <fill>
      <patternFill patternType="solid">
        <fgColor rgb="FFF0F2F5"/>
        <bgColor rgb="FFEAF0F7"/>
      </patternFill>
    </fill>
    <fill>
      <patternFill patternType="solid">
        <fgColor rgb="FFEAF0F7"/>
        <bgColor rgb="FFF0F2F5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medium">
        <color rgb="FF1B3A5C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3" fillId="8" borderId="0" xfId="0" applyFont="1" applyFill="1" applyAlignment="1">
      <alignment horizontal="center"/>
    </xf>
    <xf numFmtId="0" fontId="29" fillId="8" borderId="0" xfId="0" applyFont="1" applyFill="1" applyAlignment="1">
      <alignment horizontal="center"/>
    </xf>
    <xf numFmtId="0" fontId="20" fillId="2" borderId="0" xfId="0" applyFont="1" applyFill="1" applyAlignment="1">
      <alignment horizontal="center"/>
    </xf>
    <xf numFmtId="0" fontId="19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1" fillId="6" borderId="0" xfId="0" applyFont="1" applyFill="1" applyAlignment="1">
      <alignment horizontal="left" wrapText="1"/>
    </xf>
    <xf numFmtId="0" fontId="0" fillId="2" borderId="0" xfId="0" applyFill="1"/>
    <xf numFmtId="0" fontId="5" fillId="5" borderId="0" xfId="0" applyFont="1" applyFill="1" applyAlignment="1">
      <alignment horizontal="left"/>
    </xf>
    <xf numFmtId="0" fontId="5" fillId="4" borderId="0" xfId="0" applyFont="1" applyFill="1" applyAlignment="1">
      <alignment horizontal="left"/>
    </xf>
    <xf numFmtId="0" fontId="0" fillId="3" borderId="0" xfId="0" applyFill="1"/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0" fillId="2" borderId="0" xfId="0" applyFill="1"/>
    <xf numFmtId="0" fontId="4" fillId="4" borderId="0" xfId="0" applyFont="1" applyFill="1" applyAlignment="1">
      <alignment horizontal="left"/>
    </xf>
    <xf numFmtId="0" fontId="4" fillId="5" borderId="0" xfId="0" applyFont="1" applyFill="1" applyAlignment="1">
      <alignment horizontal="left"/>
    </xf>
    <xf numFmtId="0" fontId="6" fillId="5" borderId="0" xfId="0" applyFont="1" applyFill="1" applyAlignment="1">
      <alignment horizontal="left"/>
    </xf>
    <xf numFmtId="0" fontId="6" fillId="4" borderId="0" xfId="0" applyFont="1" applyFill="1" applyAlignment="1">
      <alignment horizontal="left"/>
    </xf>
    <xf numFmtId="0" fontId="7" fillId="5" borderId="0" xfId="0" applyFont="1" applyFill="1" applyAlignment="1">
      <alignment horizontal="left"/>
    </xf>
    <xf numFmtId="0" fontId="8" fillId="4" borderId="0" xfId="0" applyFont="1" applyFill="1" applyAlignment="1">
      <alignment horizontal="left"/>
    </xf>
    <xf numFmtId="0" fontId="9" fillId="5" borderId="0" xfId="0" applyFont="1" applyFill="1" applyAlignment="1">
      <alignment horizontal="left"/>
    </xf>
    <xf numFmtId="0" fontId="10" fillId="4" borderId="0" xfId="0" applyFont="1" applyFill="1" applyAlignment="1">
      <alignment horizontal="left"/>
    </xf>
    <xf numFmtId="0" fontId="12" fillId="2" borderId="1" xfId="0" applyFont="1" applyFill="1" applyBorder="1" applyAlignment="1">
      <alignment horizontal="center"/>
    </xf>
    <xf numFmtId="0" fontId="14" fillId="7" borderId="0" xfId="0" applyFont="1" applyFill="1" applyAlignment="1">
      <alignment horizontal="left"/>
    </xf>
    <xf numFmtId="0" fontId="0" fillId="7" borderId="0" xfId="0" applyFill="1"/>
    <xf numFmtId="0" fontId="15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164" fontId="17" fillId="0" borderId="0" xfId="0" applyNumberFormat="1" applyFont="1" applyAlignment="1">
      <alignment horizontal="right"/>
    </xf>
    <xf numFmtId="0" fontId="18" fillId="0" borderId="0" xfId="0" applyFont="1" applyAlignment="1">
      <alignment horizontal="left"/>
    </xf>
    <xf numFmtId="165" fontId="17" fillId="0" borderId="0" xfId="0" applyNumberFormat="1" applyFont="1" applyAlignment="1">
      <alignment horizontal="right"/>
    </xf>
    <xf numFmtId="0" fontId="19" fillId="0" borderId="0" xfId="0" applyFont="1" applyAlignment="1">
      <alignment horizontal="left"/>
    </xf>
    <xf numFmtId="0" fontId="21" fillId="2" borderId="0" xfId="0" applyFont="1" applyFill="1"/>
    <xf numFmtId="0" fontId="22" fillId="8" borderId="0" xfId="0" applyFont="1" applyFill="1"/>
    <xf numFmtId="0" fontId="0" fillId="8" borderId="0" xfId="0" applyFill="1"/>
    <xf numFmtId="165" fontId="23" fillId="0" borderId="0" xfId="0" applyNumberFormat="1" applyFont="1" applyAlignment="1">
      <alignment horizontal="right"/>
    </xf>
    <xf numFmtId="0" fontId="24" fillId="0" borderId="0" xfId="0" applyFont="1" applyAlignment="1">
      <alignment horizontal="left"/>
    </xf>
    <xf numFmtId="165" fontId="17" fillId="0" borderId="2" xfId="0" applyNumberFormat="1" applyFont="1" applyBorder="1" applyAlignment="1">
      <alignment horizontal="right"/>
    </xf>
    <xf numFmtId="165" fontId="24" fillId="0" borderId="2" xfId="0" applyNumberFormat="1" applyFont="1" applyBorder="1" applyAlignment="1">
      <alignment horizontal="right"/>
    </xf>
    <xf numFmtId="0" fontId="25" fillId="0" borderId="0" xfId="0" applyFont="1" applyAlignment="1">
      <alignment horizontal="left"/>
    </xf>
    <xf numFmtId="164" fontId="26" fillId="0" borderId="0" xfId="0" applyNumberFormat="1" applyFont="1" applyAlignment="1">
      <alignment horizontal="right"/>
    </xf>
    <xf numFmtId="0" fontId="27" fillId="0" borderId="0" xfId="0" applyFont="1" applyAlignment="1">
      <alignment horizontal="left"/>
    </xf>
    <xf numFmtId="0" fontId="0" fillId="9" borderId="0" xfId="0" applyFill="1"/>
    <xf numFmtId="165" fontId="28" fillId="9" borderId="2" xfId="0" applyNumberFormat="1" applyFont="1" applyFill="1" applyBorder="1" applyAlignment="1">
      <alignment horizontal="right"/>
    </xf>
    <xf numFmtId="166" fontId="24" fillId="0" borderId="0" xfId="0" applyNumberFormat="1" applyFont="1" applyAlignment="1">
      <alignment horizontal="right"/>
    </xf>
    <xf numFmtId="165" fontId="16" fillId="0" borderId="0" xfId="0" applyNumberFormat="1" applyFont="1" applyAlignment="1">
      <alignment horizontal="right"/>
    </xf>
    <xf numFmtId="0" fontId="14" fillId="4" borderId="0" xfId="0" applyFont="1" applyFill="1" applyAlignment="1">
      <alignment horizontal="left"/>
    </xf>
    <xf numFmtId="0" fontId="0" fillId="4" borderId="0" xfId="0" applyFill="1"/>
    <xf numFmtId="165" fontId="24" fillId="0" borderId="0" xfId="0" applyNumberFormat="1" applyFont="1" applyAlignment="1">
      <alignment horizontal="right"/>
    </xf>
    <xf numFmtId="165" fontId="17" fillId="9" borderId="2" xfId="0" applyNumberFormat="1" applyFont="1" applyFill="1" applyBorder="1" applyAlignment="1">
      <alignment horizontal="right"/>
    </xf>
    <xf numFmtId="0" fontId="12" fillId="2" borderId="0" xfId="0" applyFont="1" applyFill="1" applyAlignment="1">
      <alignment horizontal="left"/>
    </xf>
    <xf numFmtId="0" fontId="16" fillId="4" borderId="0" xfId="0" applyFont="1" applyFill="1" applyAlignment="1">
      <alignment horizontal="left"/>
    </xf>
    <xf numFmtId="164" fontId="30" fillId="4" borderId="0" xfId="0" applyNumberFormat="1" applyFont="1" applyFill="1" applyAlignment="1">
      <alignment horizontal="right"/>
    </xf>
    <xf numFmtId="164" fontId="16" fillId="4" borderId="0" xfId="0" applyNumberFormat="1" applyFont="1" applyFill="1" applyAlignment="1">
      <alignment horizontal="right"/>
    </xf>
    <xf numFmtId="0" fontId="14" fillId="0" borderId="0" xfId="0" applyFont="1" applyAlignment="1">
      <alignment horizontal="left"/>
    </xf>
    <xf numFmtId="0" fontId="14" fillId="9" borderId="0" xfId="0" applyFont="1" applyFill="1" applyAlignment="1">
      <alignment horizontal="left"/>
    </xf>
    <xf numFmtId="165" fontId="24" fillId="9" borderId="0" xfId="0" applyNumberFormat="1" applyFont="1" applyFill="1" applyAlignment="1">
      <alignment horizontal="right"/>
    </xf>
    <xf numFmtId="0" fontId="16" fillId="9" borderId="0" xfId="0" applyFont="1" applyFill="1" applyAlignment="1">
      <alignment horizontal="left"/>
    </xf>
    <xf numFmtId="164" fontId="16" fillId="9" borderId="0" xfId="0" applyNumberFormat="1" applyFont="1" applyFill="1" applyAlignment="1">
      <alignment horizontal="right"/>
    </xf>
    <xf numFmtId="165" fontId="16" fillId="4" borderId="0" xfId="0" applyNumberFormat="1" applyFont="1" applyFill="1" applyAlignment="1">
      <alignment horizontal="right"/>
    </xf>
    <xf numFmtId="167" fontId="16" fillId="4" borderId="0" xfId="0" applyNumberFormat="1" applyFont="1" applyFill="1" applyAlignment="1">
      <alignment horizontal="right"/>
    </xf>
    <xf numFmtId="167" fontId="16" fillId="0" borderId="0" xfId="0" applyNumberFormat="1" applyFont="1" applyAlignment="1">
      <alignment horizontal="right"/>
    </xf>
    <xf numFmtId="166" fontId="24" fillId="4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A0000"/>
      <rgbColor rgb="FF008000"/>
      <rgbColor rgb="FF000080"/>
      <rgbColor rgb="FFAA6600"/>
      <rgbColor rgb="FF800080"/>
      <rgbColor rgb="FF008080"/>
      <rgbColor rgb="FFCCCCCC"/>
      <rgbColor rgb="FF888888"/>
      <rgbColor rgb="FF9999FF"/>
      <rgbColor rgb="FF993366"/>
      <rgbColor rgb="FFFFF3F3"/>
      <rgbColor rgb="FFEAF0F7"/>
      <rgbColor rgb="FF660066"/>
      <rgbColor rgb="FFFF8080"/>
      <rgbColor rgb="FF0066CC"/>
      <rgbColor rgb="FFD4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2F5"/>
      <rgbColor rgb="FFF5F8F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B8972A"/>
      <rgbColor rgb="FF1B3A5C"/>
      <rgbColor rgb="FF339966"/>
      <rgbColor rgb="FF003300"/>
      <rgbColor rgb="FF333300"/>
      <rgbColor rgb="FF993300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Profitability</a:t>
            </a:r>
          </a:p>
        </c:rich>
      </c:tx>
      <c:layout>
        <c:manualLayout>
          <c:xMode val="edge"/>
          <c:yMode val="edge"/>
          <c:x val="0.41782633420822402"/>
          <c:y val="5.0925925925925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 Dashboard'!$A$11</c:f>
              <c:strCache>
                <c:ptCount val="1"/>
                <c:pt idx="0">
                  <c:v>Gross Profit (USD mm)</c:v>
                </c:pt>
              </c:strCache>
            </c:strRef>
          </c:tx>
          <c:spPr>
            <a:gradFill>
              <a:gsLst>
                <a:gs pos="0">
                  <a:schemeClr val="accent1">
                    <a:tint val="50000"/>
                  </a:schemeClr>
                </a:gs>
                <a:gs pos="35000">
                  <a:schemeClr val="accent1">
                    <a:tint val="37000"/>
                  </a:schemeClr>
                </a:gs>
                <a:gs pos="100000">
                  <a:schemeClr val="accent1">
                    <a:tint val="15000"/>
                  </a:schemeClr>
                </a:gs>
              </a:gsLst>
              <a:lin ang="16200000" scaled="1"/>
              <a:tileRect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'KPI Dashboard'!$B$4:$G$4</c:f>
              <c:strCache>
                <c:ptCount val="6"/>
                <c:pt idx="0">
                  <c:v>FY2021A</c:v>
                </c:pt>
                <c:pt idx="1">
                  <c:v>FY2022A</c:v>
                </c:pt>
                <c:pt idx="2">
                  <c:v>FY2023A</c:v>
                </c:pt>
                <c:pt idx="3">
                  <c:v>FY2024A</c:v>
                </c:pt>
                <c:pt idx="4">
                  <c:v>FY2025F</c:v>
                </c:pt>
                <c:pt idx="5">
                  <c:v>FY2026F</c:v>
                </c:pt>
              </c:strCache>
            </c:strRef>
          </c:cat>
          <c:val>
            <c:numRef>
              <c:f>'KPI Dashboard'!$B$11:$G$11</c:f>
              <c:numCache>
                <c:formatCode>#,##0;\(#,##0\);\-</c:formatCode>
                <c:ptCount val="6"/>
                <c:pt idx="0">
                  <c:v>3695</c:v>
                </c:pt>
                <c:pt idx="1">
                  <c:v>4975</c:v>
                </c:pt>
                <c:pt idx="2">
                  <c:v>5000</c:v>
                </c:pt>
                <c:pt idx="3">
                  <c:v>6247</c:v>
                </c:pt>
                <c:pt idx="4">
                  <c:v>7356.8819999999996</c:v>
                </c:pt>
                <c:pt idx="5">
                  <c:v>8593.848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51-40C3-8B10-2230AE04F7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8163935"/>
        <c:axId val="1558164415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'KPI Dashboard'!$A$12</c15:sqref>
                        </c15:formulaRef>
                      </c:ext>
                    </c:extLst>
                    <c:strCache>
                      <c:ptCount val="1"/>
                      <c:pt idx="0">
                        <c:v>Gross Margin %</c:v>
                      </c:pt>
                    </c:strCache>
                  </c:strRef>
                </c:tx>
                <c:spPr>
                  <a:gradFill>
                    <a:gsLst>
                      <a:gs pos="0">
                        <a:schemeClr val="accent2">
                          <a:tint val="50000"/>
                        </a:schemeClr>
                      </a:gs>
                      <a:gs pos="35000">
                        <a:schemeClr val="accent2">
                          <a:tint val="37000"/>
                        </a:schemeClr>
                      </a:gs>
                      <a:gs pos="100000">
                        <a:schemeClr val="accent2">
                          <a:tint val="15000"/>
                        </a:schemeClr>
                      </a:gs>
                    </a:gsLst>
                    <a:lin ang="16200000" scaled="1"/>
                    <a:tileRect/>
                  </a:gradFill>
                  <a:ln w="9525" cap="flat" cmpd="sng" algn="ctr">
                    <a:solidFill>
                      <a:schemeClr val="accent2">
                        <a:shade val="95000"/>
                      </a:schemeClr>
                    </a:solidFill>
                    <a:round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'KPI Dashboard'!$B$4:$G$4</c15:sqref>
                        </c15:formulaRef>
                      </c:ext>
                    </c:extLst>
                    <c:strCache>
                      <c:ptCount val="6"/>
                      <c:pt idx="0">
                        <c:v>FY2021A</c:v>
                      </c:pt>
                      <c:pt idx="1">
                        <c:v>FY2022A</c:v>
                      </c:pt>
                      <c:pt idx="2">
                        <c:v>FY2023A</c:v>
                      </c:pt>
                      <c:pt idx="3">
                        <c:v>FY2024A</c:v>
                      </c:pt>
                      <c:pt idx="4">
                        <c:v>FY2025F</c:v>
                      </c:pt>
                      <c:pt idx="5">
                        <c:v>FY2026F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'KPI Dashboard'!$B$12:$G$12</c15:sqref>
                        </c15:formulaRef>
                      </c:ext>
                    </c:extLst>
                    <c:numCache>
                      <c:formatCode>0.0%;\(0.0%\);\-</c:formatCode>
                      <c:ptCount val="6"/>
                      <c:pt idx="0">
                        <c:v>0.37146878455815824</c:v>
                      </c:pt>
                      <c:pt idx="1">
                        <c:v>0.39963049240902881</c:v>
                      </c:pt>
                      <c:pt idx="2">
                        <c:v>0.38066235249333841</c:v>
                      </c:pt>
                      <c:pt idx="3">
                        <c:v>0.38999875140466972</c:v>
                      </c:pt>
                      <c:pt idx="4">
                        <c:v>0.39</c:v>
                      </c:pt>
                      <c:pt idx="5">
                        <c:v>0.4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B351-40C3-8B10-2230AE04F7A0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'KPI Dashboard'!$A$13</c:f>
              <c:strCache>
                <c:ptCount val="1"/>
                <c:pt idx="0">
                  <c:v>EBITDA (USD mm)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'KPI Dashboard'!$B$4:$G$4</c:f>
              <c:strCache>
                <c:ptCount val="6"/>
                <c:pt idx="0">
                  <c:v>FY2021A</c:v>
                </c:pt>
                <c:pt idx="1">
                  <c:v>FY2022A</c:v>
                </c:pt>
                <c:pt idx="2">
                  <c:v>FY2023A</c:v>
                </c:pt>
                <c:pt idx="3">
                  <c:v>FY2024A</c:v>
                </c:pt>
                <c:pt idx="4">
                  <c:v>FY2025F</c:v>
                </c:pt>
                <c:pt idx="5">
                  <c:v>FY2026F</c:v>
                </c:pt>
              </c:strCache>
            </c:strRef>
          </c:cat>
          <c:val>
            <c:numRef>
              <c:f>'KPI Dashboard'!$B$13:$G$13</c:f>
              <c:numCache>
                <c:formatCode>#,##0;\(#,##0\);\-</c:formatCode>
                <c:ptCount val="6"/>
                <c:pt idx="0">
                  <c:v>-1588</c:v>
                </c:pt>
                <c:pt idx="1">
                  <c:v>1148</c:v>
                </c:pt>
                <c:pt idx="2">
                  <c:v>2607</c:v>
                </c:pt>
                <c:pt idx="3">
                  <c:v>3392</c:v>
                </c:pt>
                <c:pt idx="4">
                  <c:v>5923.2331999999997</c:v>
                </c:pt>
                <c:pt idx="5">
                  <c:v>7089.9245999999994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51-40C3-8B10-2230AE04F7A0}"/>
            </c:ext>
          </c:extLst>
        </c:ser>
        <c:ser>
          <c:idx val="3"/>
          <c:order val="3"/>
          <c:tx>
            <c:strRef>
              <c:f>'KPI Dashboard'!$A$17</c:f>
              <c:strCache>
                <c:ptCount val="1"/>
                <c:pt idx="0">
                  <c:v>Net Income (USD mm)</c:v>
                </c:pt>
              </c:strCache>
            </c:strRef>
          </c:tx>
          <c:spPr>
            <a:ln w="158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'KPI Dashboard'!$B$4:$G$4</c:f>
              <c:strCache>
                <c:ptCount val="6"/>
                <c:pt idx="0">
                  <c:v>FY2021A</c:v>
                </c:pt>
                <c:pt idx="1">
                  <c:v>FY2022A</c:v>
                </c:pt>
                <c:pt idx="2">
                  <c:v>FY2023A</c:v>
                </c:pt>
                <c:pt idx="3">
                  <c:v>FY2024A</c:v>
                </c:pt>
                <c:pt idx="4">
                  <c:v>FY2025F</c:v>
                </c:pt>
                <c:pt idx="5">
                  <c:v>FY2026F</c:v>
                </c:pt>
              </c:strCache>
            </c:strRef>
          </c:cat>
          <c:val>
            <c:numRef>
              <c:f>'KPI Dashboard'!$B$17:$G$17</c:f>
              <c:numCache>
                <c:formatCode>#,##0;\(#,##0\);\-</c:formatCode>
                <c:ptCount val="6"/>
                <c:pt idx="0">
                  <c:v>-2350</c:v>
                </c:pt>
                <c:pt idx="1">
                  <c:v>420</c:v>
                </c:pt>
                <c:pt idx="2">
                  <c:v>1935</c:v>
                </c:pt>
                <c:pt idx="3">
                  <c:v>2784</c:v>
                </c:pt>
                <c:pt idx="4">
                  <c:v>4775.8253941917801</c:v>
                </c:pt>
                <c:pt idx="5">
                  <c:v>5797.8185175246572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351-40C3-8B10-2230AE04F7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8163935"/>
        <c:axId val="1558164415"/>
      </c:lineChart>
      <c:catAx>
        <c:axId val="1558163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164415"/>
        <c:auto val="1"/>
        <c:lblAlgn val="ctr"/>
        <c:lblOffset val="100"/>
        <c:noMultiLvlLbl val="0"/>
      </c:catAx>
      <c:valAx>
        <c:axId val="1558164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(#,##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16393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Cash Flow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'KPI Dashboard'!$A$21</c:f>
              <c:strCache>
                <c:ptCount val="1"/>
                <c:pt idx="0">
                  <c:v>Free Cash Flow (USD mm)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forward val="2"/>
            <c:intercept val="0"/>
            <c:dispRSqr val="0"/>
            <c:dispEq val="1"/>
            <c:trendlineLbl>
              <c:layout>
                <c:manualLayout>
                  <c:x val="2.1397637795275591E-3"/>
                  <c:y val="5.862824438611840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strRef>
              <c:f>'KPI Dashboard'!$B$4:$G$4</c:f>
              <c:strCache>
                <c:ptCount val="6"/>
                <c:pt idx="0">
                  <c:v>FY2021A</c:v>
                </c:pt>
                <c:pt idx="1">
                  <c:v>FY2022A</c:v>
                </c:pt>
                <c:pt idx="2">
                  <c:v>FY2023A</c:v>
                </c:pt>
                <c:pt idx="3">
                  <c:v>FY2024A</c:v>
                </c:pt>
                <c:pt idx="4">
                  <c:v>FY2025F</c:v>
                </c:pt>
                <c:pt idx="5">
                  <c:v>FY2026F</c:v>
                </c:pt>
              </c:strCache>
            </c:strRef>
          </c:cat>
          <c:val>
            <c:numRef>
              <c:f>'KPI Dashboard'!$B$21:$G$21</c:f>
              <c:numCache>
                <c:formatCode>#,##0;\(#,##0\);\-</c:formatCode>
                <c:ptCount val="6"/>
                <c:pt idx="0">
                  <c:v>-1810</c:v>
                </c:pt>
                <c:pt idx="1">
                  <c:v>1300</c:v>
                </c:pt>
                <c:pt idx="2">
                  <c:v>2441</c:v>
                </c:pt>
                <c:pt idx="3">
                  <c:v>3370</c:v>
                </c:pt>
                <c:pt idx="4">
                  <c:v>5329.8613393972591</c:v>
                </c:pt>
                <c:pt idx="5">
                  <c:v>6352.0784117712319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4D-4AF6-944C-AC5CDD5FB5C5}"/>
            </c:ext>
          </c:extLst>
        </c:ser>
        <c:ser>
          <c:idx val="2"/>
          <c:order val="2"/>
          <c:tx>
            <c:strRef>
              <c:f>'KPI Dashboard'!$A$23</c:f>
              <c:strCache>
                <c:ptCount val="1"/>
                <c:pt idx="0">
                  <c:v>Cash &amp; Equivalents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'KPI Dashboard'!$B$4:$G$4</c:f>
              <c:strCache>
                <c:ptCount val="6"/>
                <c:pt idx="0">
                  <c:v>FY2021A</c:v>
                </c:pt>
                <c:pt idx="1">
                  <c:v>FY2022A</c:v>
                </c:pt>
                <c:pt idx="2">
                  <c:v>FY2023A</c:v>
                </c:pt>
                <c:pt idx="3">
                  <c:v>FY2024A</c:v>
                </c:pt>
                <c:pt idx="4">
                  <c:v>FY2025F</c:v>
                </c:pt>
                <c:pt idx="5">
                  <c:v>FY2026F</c:v>
                </c:pt>
              </c:strCache>
            </c:strRef>
          </c:cat>
          <c:val>
            <c:numRef>
              <c:f>'KPI Dashboard'!$B$23:$G$23</c:f>
              <c:numCache>
                <c:formatCode>#,##0;\(#,##0\);\-</c:formatCode>
                <c:ptCount val="6"/>
                <c:pt idx="0">
                  <c:v>7200</c:v>
                </c:pt>
                <c:pt idx="1">
                  <c:v>6000</c:v>
                </c:pt>
                <c:pt idx="2">
                  <c:v>7200</c:v>
                </c:pt>
                <c:pt idx="3">
                  <c:v>9100</c:v>
                </c:pt>
                <c:pt idx="4">
                  <c:v>14029.861339397259</c:v>
                </c:pt>
                <c:pt idx="5">
                  <c:v>19981.939751168491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4D-4AF6-944C-AC5CDD5FB5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794417055"/>
        <c:axId val="1794418015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'KPI Dashboard'!$A$22</c15:sqref>
                        </c15:formulaRef>
                      </c:ext>
                    </c:extLst>
                    <c:strCache>
                      <c:ptCount val="1"/>
                      <c:pt idx="0">
                        <c:v>FCF Margin %</c:v>
                      </c:pt>
                    </c:strCache>
                  </c:strRef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'KPI Dashboard'!$B$4:$G$4</c15:sqref>
                        </c15:formulaRef>
                      </c:ext>
                    </c:extLst>
                    <c:strCache>
                      <c:ptCount val="6"/>
                      <c:pt idx="0">
                        <c:v>FY2021A</c:v>
                      </c:pt>
                      <c:pt idx="1">
                        <c:v>FY2022A</c:v>
                      </c:pt>
                      <c:pt idx="2">
                        <c:v>FY2023A</c:v>
                      </c:pt>
                      <c:pt idx="3">
                        <c:v>FY2024A</c:v>
                      </c:pt>
                      <c:pt idx="4">
                        <c:v>FY2025F</c:v>
                      </c:pt>
                      <c:pt idx="5">
                        <c:v>FY2026F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'KPI Dashboard'!$B$22:$G$22</c15:sqref>
                        </c15:formulaRef>
                      </c:ext>
                    </c:extLst>
                    <c:numCache>
                      <c:formatCode>0.0%;\(0.0%\);\-</c:formatCode>
                      <c:ptCount val="6"/>
                      <c:pt idx="0">
                        <c:v>-0.18196441138031566</c:v>
                      </c:pt>
                      <c:pt idx="1">
                        <c:v>0.10442605831793718</c:v>
                      </c:pt>
                      <c:pt idx="2">
                        <c:v>0.18583936048724781</c:v>
                      </c:pt>
                      <c:pt idx="3">
                        <c:v>0.21038831314770884</c:v>
                      </c:pt>
                      <c:pt idx="4">
                        <c:v>0.28254441519721685</c:v>
                      </c:pt>
                      <c:pt idx="5">
                        <c:v>0.2956570054192828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C4D-4AF6-944C-AC5CDD5FB5C5}"/>
                  </c:ext>
                </c:extLst>
              </c15:ser>
            </c15:filteredLineSeries>
          </c:ext>
        </c:extLst>
      </c:lineChart>
      <c:catAx>
        <c:axId val="1794417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418015"/>
        <c:crosses val="autoZero"/>
        <c:auto val="1"/>
        <c:lblAlgn val="ctr"/>
        <c:lblOffset val="100"/>
        <c:noMultiLvlLbl val="0"/>
      </c:catAx>
      <c:valAx>
        <c:axId val="1794418015"/>
        <c:scaling>
          <c:orientation val="minMax"/>
        </c:scaling>
        <c:delete val="0"/>
        <c:axPos val="l"/>
        <c:numFmt formatCode="#,##0;\(#,##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417055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34</xdr:row>
      <xdr:rowOff>38100</xdr:rowOff>
    </xdr:from>
    <xdr:to>
      <xdr:col>3</xdr:col>
      <xdr:colOff>254000</xdr:colOff>
      <xdr:row>49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7A058A9-D9F1-5E00-838B-C6C6B5FDD1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288925</xdr:colOff>
      <xdr:row>34</xdr:row>
      <xdr:rowOff>31750</xdr:rowOff>
    </xdr:from>
    <xdr:to>
      <xdr:col>7</xdr:col>
      <xdr:colOff>669925</xdr:colOff>
      <xdr:row>49</xdr:row>
      <xdr:rowOff>12700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7498FE1-39A5-6CC7-176B-4BB8D6CB84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showGridLines="0" topLeftCell="A7" zoomScaleNormal="100" workbookViewId="0">
      <selection sqref="A1:H1"/>
    </sheetView>
  </sheetViews>
  <sheetFormatPr defaultColWidth="8.6328125" defaultRowHeight="14.5" x14ac:dyDescent="0.35"/>
  <cols>
    <col min="1" max="1" width="28" customWidth="1"/>
    <col min="2" max="8" width="18" customWidth="1"/>
  </cols>
  <sheetData>
    <row r="1" spans="1:8" ht="49.5" customHeight="1" x14ac:dyDescent="0.7">
      <c r="A1" s="12" t="s">
        <v>0</v>
      </c>
      <c r="B1" s="12"/>
      <c r="C1" s="12"/>
      <c r="D1" s="12"/>
      <c r="E1" s="12"/>
      <c r="F1" s="12"/>
      <c r="G1" s="12"/>
      <c r="H1" s="12"/>
    </row>
    <row r="2" spans="1:8" ht="30" customHeight="1" x14ac:dyDescent="0.45">
      <c r="A2" s="11" t="s">
        <v>1</v>
      </c>
      <c r="B2" s="11"/>
      <c r="C2" s="11"/>
      <c r="D2" s="11"/>
      <c r="E2" s="11"/>
      <c r="F2" s="11"/>
      <c r="G2" s="11"/>
      <c r="H2" s="11"/>
    </row>
    <row r="3" spans="1:8" ht="6" customHeight="1" x14ac:dyDescent="0.35">
      <c r="A3" s="10"/>
      <c r="B3" s="10"/>
      <c r="C3" s="10"/>
      <c r="D3" s="10"/>
      <c r="E3" s="10"/>
      <c r="F3" s="10"/>
      <c r="G3" s="10"/>
      <c r="H3" s="10"/>
    </row>
    <row r="5" spans="1:8" x14ac:dyDescent="0.35">
      <c r="A5" s="13" t="s">
        <v>2</v>
      </c>
      <c r="B5" s="14"/>
      <c r="C5" s="14"/>
    </row>
    <row r="6" spans="1:8" x14ac:dyDescent="0.35">
      <c r="A6" s="15" t="s">
        <v>3</v>
      </c>
      <c r="B6" s="9" t="s">
        <v>4</v>
      </c>
      <c r="C6" s="9"/>
      <c r="D6" s="9"/>
      <c r="E6" s="9"/>
      <c r="F6" s="9"/>
      <c r="G6" s="9"/>
      <c r="H6" s="9"/>
    </row>
    <row r="7" spans="1:8" x14ac:dyDescent="0.35">
      <c r="A7" s="16" t="s">
        <v>5</v>
      </c>
      <c r="B7" s="8" t="s">
        <v>6</v>
      </c>
      <c r="C7" s="8"/>
      <c r="D7" s="8"/>
      <c r="E7" s="8"/>
      <c r="F7" s="8"/>
      <c r="G7" s="8"/>
      <c r="H7" s="8"/>
    </row>
    <row r="8" spans="1:8" x14ac:dyDescent="0.35">
      <c r="A8" s="15" t="s">
        <v>7</v>
      </c>
      <c r="B8" s="9" t="s">
        <v>8</v>
      </c>
      <c r="C8" s="9"/>
      <c r="D8" s="9"/>
      <c r="E8" s="9"/>
      <c r="F8" s="9"/>
      <c r="G8" s="9"/>
      <c r="H8" s="9"/>
    </row>
    <row r="9" spans="1:8" x14ac:dyDescent="0.35">
      <c r="A9" s="16" t="s">
        <v>9</v>
      </c>
      <c r="B9" s="8" t="s">
        <v>10</v>
      </c>
      <c r="C9" s="8"/>
      <c r="D9" s="8"/>
      <c r="E9" s="8"/>
      <c r="F9" s="8"/>
      <c r="G9" s="8"/>
      <c r="H9" s="8"/>
    </row>
    <row r="10" spans="1:8" x14ac:dyDescent="0.35">
      <c r="A10" s="15" t="s">
        <v>11</v>
      </c>
      <c r="B10" s="9" t="s">
        <v>12</v>
      </c>
      <c r="C10" s="9"/>
      <c r="D10" s="9"/>
      <c r="E10" s="9"/>
      <c r="F10" s="9"/>
      <c r="G10" s="9"/>
      <c r="H10" s="9"/>
    </row>
    <row r="11" spans="1:8" x14ac:dyDescent="0.35">
      <c r="A11" s="16" t="s">
        <v>13</v>
      </c>
      <c r="B11" s="8" t="s">
        <v>14</v>
      </c>
      <c r="C11" s="8"/>
      <c r="D11" s="8"/>
      <c r="E11" s="8"/>
      <c r="F11" s="8"/>
      <c r="G11" s="8"/>
      <c r="H11" s="8"/>
    </row>
    <row r="12" spans="1:8" x14ac:dyDescent="0.35">
      <c r="A12" s="15" t="s">
        <v>15</v>
      </c>
      <c r="B12" s="9" t="s">
        <v>16</v>
      </c>
      <c r="C12" s="9"/>
      <c r="D12" s="9"/>
      <c r="E12" s="9"/>
      <c r="F12" s="9"/>
      <c r="G12" s="9"/>
      <c r="H12" s="9"/>
    </row>
    <row r="13" spans="1:8" x14ac:dyDescent="0.35">
      <c r="A13" s="16" t="s">
        <v>17</v>
      </c>
      <c r="B13" s="8" t="s">
        <v>18</v>
      </c>
      <c r="C13" s="8"/>
      <c r="D13" s="8"/>
      <c r="E13" s="8"/>
      <c r="F13" s="8"/>
      <c r="G13" s="8"/>
      <c r="H13" s="8"/>
    </row>
    <row r="16" spans="1:8" x14ac:dyDescent="0.35">
      <c r="A16" s="13" t="s">
        <v>19</v>
      </c>
    </row>
    <row r="17" spans="1:8" x14ac:dyDescent="0.35">
      <c r="A17" s="17" t="s">
        <v>20</v>
      </c>
      <c r="B17" s="8" t="s">
        <v>21</v>
      </c>
      <c r="C17" s="8"/>
      <c r="D17" s="8"/>
      <c r="E17" s="8"/>
      <c r="F17" s="8"/>
      <c r="G17" s="8"/>
      <c r="H17" s="8"/>
    </row>
    <row r="18" spans="1:8" x14ac:dyDescent="0.35">
      <c r="A18" s="18" t="s">
        <v>22</v>
      </c>
      <c r="B18" s="9" t="s">
        <v>23</v>
      </c>
      <c r="C18" s="9"/>
      <c r="D18" s="9"/>
      <c r="E18" s="9"/>
      <c r="F18" s="9"/>
      <c r="G18" s="9"/>
      <c r="H18" s="9"/>
    </row>
    <row r="19" spans="1:8" x14ac:dyDescent="0.35">
      <c r="A19" s="17" t="s">
        <v>24</v>
      </c>
      <c r="B19" s="8" t="s">
        <v>25</v>
      </c>
      <c r="C19" s="8"/>
      <c r="D19" s="8"/>
      <c r="E19" s="8"/>
      <c r="F19" s="8"/>
      <c r="G19" s="8"/>
      <c r="H19" s="8"/>
    </row>
    <row r="20" spans="1:8" x14ac:dyDescent="0.35">
      <c r="A20" s="18" t="s">
        <v>26</v>
      </c>
      <c r="B20" s="9" t="s">
        <v>27</v>
      </c>
      <c r="C20" s="9"/>
      <c r="D20" s="9"/>
      <c r="E20" s="9"/>
      <c r="F20" s="9"/>
      <c r="G20" s="9"/>
      <c r="H20" s="9"/>
    </row>
    <row r="21" spans="1:8" x14ac:dyDescent="0.35">
      <c r="A21" s="17" t="s">
        <v>28</v>
      </c>
      <c r="B21" s="8" t="s">
        <v>29</v>
      </c>
      <c r="C21" s="8"/>
      <c r="D21" s="8"/>
      <c r="E21" s="8"/>
      <c r="F21" s="8"/>
      <c r="G21" s="8"/>
      <c r="H21" s="8"/>
    </row>
    <row r="24" spans="1:8" x14ac:dyDescent="0.35">
      <c r="A24" s="13" t="s">
        <v>30</v>
      </c>
      <c r="B24" s="7"/>
      <c r="C24" s="7"/>
      <c r="D24" s="7"/>
      <c r="E24" s="7"/>
      <c r="F24" s="7"/>
      <c r="G24" s="7"/>
      <c r="H24" s="7"/>
    </row>
    <row r="25" spans="1:8" x14ac:dyDescent="0.35">
      <c r="A25" s="19" t="s">
        <v>31</v>
      </c>
      <c r="B25" s="8" t="s">
        <v>32</v>
      </c>
      <c r="C25" s="8"/>
      <c r="D25" s="8"/>
      <c r="E25" s="8"/>
      <c r="F25" s="8"/>
      <c r="G25" s="8"/>
      <c r="H25" s="8"/>
    </row>
    <row r="26" spans="1:8" x14ac:dyDescent="0.35">
      <c r="A26" s="20" t="s">
        <v>33</v>
      </c>
      <c r="B26" s="9" t="s">
        <v>34</v>
      </c>
      <c r="C26" s="9"/>
      <c r="D26" s="9"/>
      <c r="E26" s="9"/>
      <c r="F26" s="9"/>
      <c r="G26" s="9"/>
      <c r="H26" s="9"/>
    </row>
    <row r="27" spans="1:8" x14ac:dyDescent="0.35">
      <c r="A27" s="21" t="s">
        <v>35</v>
      </c>
      <c r="B27" s="8" t="s">
        <v>36</v>
      </c>
      <c r="C27" s="8"/>
      <c r="D27" s="8"/>
      <c r="E27" s="8"/>
      <c r="F27" s="8"/>
      <c r="G27" s="8"/>
      <c r="H27" s="8"/>
    </row>
    <row r="28" spans="1:8" x14ac:dyDescent="0.35">
      <c r="A28" s="22" t="s">
        <v>37</v>
      </c>
      <c r="B28" s="9" t="s">
        <v>38</v>
      </c>
      <c r="C28" s="9"/>
      <c r="D28" s="9"/>
      <c r="E28" s="9"/>
      <c r="F28" s="9"/>
      <c r="G28" s="9"/>
      <c r="H28" s="9"/>
    </row>
    <row r="31" spans="1:8" ht="15" customHeight="1" x14ac:dyDescent="0.35">
      <c r="A31" s="6" t="s">
        <v>39</v>
      </c>
      <c r="B31" s="6"/>
      <c r="C31" s="6"/>
      <c r="D31" s="6"/>
      <c r="E31" s="6"/>
      <c r="F31" s="6"/>
      <c r="G31" s="6"/>
      <c r="H31" s="6"/>
    </row>
    <row r="32" spans="1:8" x14ac:dyDescent="0.35">
      <c r="A32" s="6"/>
      <c r="B32" s="6"/>
      <c r="C32" s="6"/>
      <c r="D32" s="6"/>
      <c r="E32" s="6"/>
      <c r="F32" s="6"/>
      <c r="G32" s="6"/>
      <c r="H32" s="6"/>
    </row>
  </sheetData>
  <mergeCells count="22">
    <mergeCell ref="B28:H28"/>
    <mergeCell ref="A31:H32"/>
    <mergeCell ref="B21:H21"/>
    <mergeCell ref="B24:H24"/>
    <mergeCell ref="B25:H25"/>
    <mergeCell ref="B26:H26"/>
    <mergeCell ref="B27:H27"/>
    <mergeCell ref="B13:H13"/>
    <mergeCell ref="B17:H17"/>
    <mergeCell ref="B18:H18"/>
    <mergeCell ref="B19:H19"/>
    <mergeCell ref="B20:H20"/>
    <mergeCell ref="B8:H8"/>
    <mergeCell ref="B9:H9"/>
    <mergeCell ref="B10:H10"/>
    <mergeCell ref="B11:H11"/>
    <mergeCell ref="B12:H12"/>
    <mergeCell ref="A1:H1"/>
    <mergeCell ref="A2:H2"/>
    <mergeCell ref="A3:H3"/>
    <mergeCell ref="B6:H6"/>
    <mergeCell ref="B7:H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topLeftCell="A4" zoomScaleNormal="100" workbookViewId="0">
      <selection activeCell="C14" sqref="C14"/>
    </sheetView>
  </sheetViews>
  <sheetFormatPr defaultColWidth="8.6328125" defaultRowHeight="14.5" x14ac:dyDescent="0.35"/>
  <cols>
    <col min="1" max="1" width="32" customWidth="1"/>
    <col min="2" max="2" width="36" customWidth="1"/>
    <col min="3" max="4" width="16" customWidth="1"/>
    <col min="5" max="5" width="40" customWidth="1"/>
  </cols>
  <sheetData>
    <row r="1" spans="1:9" ht="27.75" customHeight="1" x14ac:dyDescent="0.45">
      <c r="A1" s="11" t="s">
        <v>40</v>
      </c>
      <c r="B1" s="11"/>
      <c r="C1" s="11"/>
      <c r="D1" s="11"/>
      <c r="E1" s="11"/>
    </row>
    <row r="2" spans="1:9" x14ac:dyDescent="0.35">
      <c r="A2" s="23" t="s">
        <v>41</v>
      </c>
      <c r="B2" s="23" t="s">
        <v>42</v>
      </c>
      <c r="C2" s="23" t="s">
        <v>43</v>
      </c>
      <c r="D2" s="23" t="s">
        <v>44</v>
      </c>
      <c r="E2" s="23" t="s">
        <v>45</v>
      </c>
    </row>
    <row r="3" spans="1:9" x14ac:dyDescent="0.35">
      <c r="A3" s="5" t="s">
        <v>46</v>
      </c>
      <c r="B3" s="5"/>
    </row>
    <row r="5" spans="1:9" x14ac:dyDescent="0.35">
      <c r="A5" s="24" t="s">
        <v>47</v>
      </c>
      <c r="B5" s="25"/>
      <c r="C5" s="25"/>
      <c r="D5" s="25"/>
      <c r="E5" s="25"/>
      <c r="F5" s="25"/>
      <c r="G5" s="25"/>
      <c r="H5" s="25"/>
      <c r="I5" s="25"/>
    </row>
    <row r="6" spans="1:9" x14ac:dyDescent="0.35">
      <c r="A6" s="26" t="s">
        <v>48</v>
      </c>
      <c r="B6" s="27" t="s">
        <v>49</v>
      </c>
      <c r="C6" s="28">
        <v>-0.1</v>
      </c>
      <c r="D6" s="28">
        <v>-0.1</v>
      </c>
      <c r="E6" s="29" t="s">
        <v>50</v>
      </c>
    </row>
    <row r="7" spans="1:9" x14ac:dyDescent="0.35">
      <c r="A7" s="26" t="s">
        <v>48</v>
      </c>
      <c r="B7" s="27" t="s">
        <v>51</v>
      </c>
      <c r="C7" s="28">
        <v>0.2</v>
      </c>
      <c r="D7" s="28">
        <v>0.15</v>
      </c>
      <c r="E7" s="29" t="s">
        <v>52</v>
      </c>
    </row>
    <row r="8" spans="1:9" x14ac:dyDescent="0.35">
      <c r="A8" s="26" t="s">
        <v>48</v>
      </c>
      <c r="B8" s="27" t="s">
        <v>53</v>
      </c>
      <c r="C8" s="28">
        <v>0.25</v>
      </c>
      <c r="D8" s="28">
        <v>0.2</v>
      </c>
      <c r="E8" s="29" t="s">
        <v>54</v>
      </c>
    </row>
    <row r="10" spans="1:9" x14ac:dyDescent="0.35">
      <c r="A10" s="24" t="s">
        <v>55</v>
      </c>
      <c r="B10" s="25"/>
      <c r="C10" s="25"/>
      <c r="D10" s="25"/>
      <c r="E10" s="25"/>
      <c r="F10" s="25"/>
      <c r="G10" s="25"/>
      <c r="H10" s="25"/>
      <c r="I10" s="25"/>
    </row>
    <row r="11" spans="1:9" x14ac:dyDescent="0.35">
      <c r="A11" s="26" t="s">
        <v>56</v>
      </c>
      <c r="B11" s="27" t="s">
        <v>57</v>
      </c>
      <c r="C11" s="28">
        <v>0.61</v>
      </c>
      <c r="D11" s="28">
        <v>0.6</v>
      </c>
      <c r="E11" s="29" t="s">
        <v>58</v>
      </c>
    </row>
    <row r="12" spans="1:9" x14ac:dyDescent="0.35">
      <c r="A12" s="26" t="s">
        <v>56</v>
      </c>
      <c r="B12" s="27" t="s">
        <v>59</v>
      </c>
      <c r="C12" s="28">
        <v>0.11</v>
      </c>
      <c r="D12" s="28">
        <v>0.105</v>
      </c>
      <c r="E12" s="29" t="s">
        <v>60</v>
      </c>
    </row>
    <row r="13" spans="1:9" x14ac:dyDescent="0.35">
      <c r="A13" s="26" t="s">
        <v>56</v>
      </c>
      <c r="B13" s="27" t="s">
        <v>61</v>
      </c>
      <c r="C13" s="28">
        <v>6.5000000000000002E-2</v>
      </c>
      <c r="D13" s="28">
        <v>0.06</v>
      </c>
      <c r="E13" s="29" t="s">
        <v>62</v>
      </c>
    </row>
    <row r="14" spans="1:9" x14ac:dyDescent="0.35">
      <c r="A14" s="26" t="s">
        <v>56</v>
      </c>
      <c r="B14" s="27" t="s">
        <v>63</v>
      </c>
      <c r="C14" s="28">
        <v>3.7999999999999999E-2</v>
      </c>
      <c r="D14" s="28">
        <v>3.5000000000000003E-2</v>
      </c>
      <c r="E14" s="29" t="s">
        <v>64</v>
      </c>
    </row>
    <row r="15" spans="1:9" x14ac:dyDescent="0.35">
      <c r="A15" s="26" t="s">
        <v>56</v>
      </c>
      <c r="B15" s="27" t="s">
        <v>65</v>
      </c>
      <c r="C15" s="28">
        <v>3.3000000000000002E-2</v>
      </c>
      <c r="D15" s="28">
        <v>0.03</v>
      </c>
      <c r="E15" s="29" t="s">
        <v>66</v>
      </c>
    </row>
    <row r="17" spans="1:9" x14ac:dyDescent="0.35">
      <c r="A17" s="24" t="s">
        <v>67</v>
      </c>
      <c r="B17" s="25"/>
      <c r="C17" s="25"/>
      <c r="D17" s="25"/>
      <c r="E17" s="25"/>
      <c r="F17" s="25"/>
      <c r="G17" s="25"/>
      <c r="H17" s="25"/>
      <c r="I17" s="25"/>
    </row>
    <row r="18" spans="1:9" x14ac:dyDescent="0.35">
      <c r="A18" s="26" t="s">
        <v>68</v>
      </c>
      <c r="B18" s="27" t="s">
        <v>69</v>
      </c>
      <c r="C18" s="28">
        <v>0.04</v>
      </c>
      <c r="D18" s="28">
        <v>0.04</v>
      </c>
      <c r="E18" s="29" t="s">
        <v>70</v>
      </c>
    </row>
    <row r="19" spans="1:9" x14ac:dyDescent="0.35">
      <c r="A19" s="26" t="s">
        <v>68</v>
      </c>
      <c r="B19" s="27" t="s">
        <v>71</v>
      </c>
      <c r="C19" s="28">
        <v>7.0000000000000007E-2</v>
      </c>
      <c r="D19" s="28">
        <v>7.0000000000000007E-2</v>
      </c>
      <c r="E19" s="29" t="s">
        <v>72</v>
      </c>
    </row>
    <row r="20" spans="1:9" x14ac:dyDescent="0.35">
      <c r="A20" s="26" t="s">
        <v>68</v>
      </c>
      <c r="B20" s="27" t="s">
        <v>73</v>
      </c>
      <c r="C20" s="30">
        <v>50</v>
      </c>
      <c r="D20" s="30">
        <v>60</v>
      </c>
      <c r="E20" s="29" t="s">
        <v>74</v>
      </c>
    </row>
    <row r="21" spans="1:9" x14ac:dyDescent="0.35">
      <c r="A21" s="26" t="s">
        <v>68</v>
      </c>
      <c r="B21" s="27" t="s">
        <v>75</v>
      </c>
      <c r="C21" s="28">
        <v>0.08</v>
      </c>
      <c r="D21" s="28">
        <v>0.09</v>
      </c>
      <c r="E21" s="29" t="s">
        <v>76</v>
      </c>
    </row>
    <row r="23" spans="1:9" x14ac:dyDescent="0.35">
      <c r="A23" s="24" t="s">
        <v>77</v>
      </c>
      <c r="B23" s="25"/>
      <c r="C23" s="25"/>
      <c r="D23" s="25"/>
      <c r="E23" s="25"/>
      <c r="F23" s="25"/>
      <c r="G23" s="25"/>
      <c r="H23" s="25"/>
      <c r="I23" s="25"/>
    </row>
    <row r="24" spans="1:9" x14ac:dyDescent="0.35">
      <c r="A24" s="26" t="s">
        <v>78</v>
      </c>
      <c r="B24" s="27" t="s">
        <v>79</v>
      </c>
      <c r="C24" s="30">
        <v>17</v>
      </c>
      <c r="D24" s="30">
        <v>16</v>
      </c>
      <c r="E24" s="29" t="s">
        <v>80</v>
      </c>
    </row>
    <row r="25" spans="1:9" x14ac:dyDescent="0.35">
      <c r="A25" s="26" t="s">
        <v>78</v>
      </c>
      <c r="B25" s="27" t="s">
        <v>81</v>
      </c>
      <c r="C25" s="30">
        <v>10</v>
      </c>
      <c r="D25" s="30">
        <v>9</v>
      </c>
      <c r="E25" s="29" t="s">
        <v>82</v>
      </c>
    </row>
    <row r="26" spans="1:9" x14ac:dyDescent="0.35">
      <c r="A26" s="26" t="s">
        <v>78</v>
      </c>
      <c r="B26" s="27" t="s">
        <v>83</v>
      </c>
      <c r="C26" s="30">
        <v>43</v>
      </c>
      <c r="D26" s="30">
        <v>43</v>
      </c>
      <c r="E26" s="29" t="s">
        <v>84</v>
      </c>
    </row>
    <row r="27" spans="1:9" x14ac:dyDescent="0.35">
      <c r="A27" s="26" t="s">
        <v>85</v>
      </c>
      <c r="B27" s="27" t="s">
        <v>86</v>
      </c>
      <c r="C27" s="28">
        <v>3.5000000000000003E-2</v>
      </c>
      <c r="D27" s="28">
        <v>3.2000000000000001E-2</v>
      </c>
      <c r="E27" s="29" t="s">
        <v>87</v>
      </c>
    </row>
    <row r="28" spans="1:9" x14ac:dyDescent="0.35">
      <c r="A28" s="26" t="s">
        <v>88</v>
      </c>
      <c r="B28" s="27" t="s">
        <v>89</v>
      </c>
      <c r="C28" s="30">
        <v>300</v>
      </c>
      <c r="D28" s="30">
        <v>300</v>
      </c>
      <c r="E28" s="29" t="s">
        <v>90</v>
      </c>
    </row>
    <row r="29" spans="1:9" x14ac:dyDescent="0.35">
      <c r="A29" s="26" t="s">
        <v>88</v>
      </c>
      <c r="B29" s="27" t="s">
        <v>91</v>
      </c>
      <c r="C29" s="30">
        <v>550</v>
      </c>
      <c r="D29" s="30">
        <v>500</v>
      </c>
      <c r="E29" s="29" t="s">
        <v>92</v>
      </c>
    </row>
    <row r="30" spans="1:9" x14ac:dyDescent="0.35">
      <c r="A30" s="26" t="s">
        <v>88</v>
      </c>
      <c r="B30" s="27" t="s">
        <v>93</v>
      </c>
      <c r="C30" s="30">
        <v>550</v>
      </c>
      <c r="D30" s="30">
        <v>500</v>
      </c>
      <c r="E30" s="29" t="s">
        <v>94</v>
      </c>
    </row>
    <row r="32" spans="1:9" x14ac:dyDescent="0.35">
      <c r="A32" s="24" t="s">
        <v>95</v>
      </c>
      <c r="B32" s="25"/>
      <c r="C32" s="25"/>
      <c r="D32" s="25"/>
      <c r="E32" s="25"/>
      <c r="F32" s="25"/>
      <c r="G32" s="25"/>
      <c r="H32" s="25"/>
      <c r="I32" s="25"/>
    </row>
    <row r="33" spans="1:5" x14ac:dyDescent="0.35">
      <c r="A33" s="26" t="s">
        <v>96</v>
      </c>
      <c r="B33" s="27" t="s">
        <v>97</v>
      </c>
      <c r="C33" s="30">
        <v>585</v>
      </c>
      <c r="D33" s="30">
        <v>590</v>
      </c>
      <c r="E33" s="29" t="s">
        <v>98</v>
      </c>
    </row>
    <row r="34" spans="1:5" x14ac:dyDescent="0.35">
      <c r="A34" s="26" t="s">
        <v>96</v>
      </c>
      <c r="B34" s="27" t="s">
        <v>99</v>
      </c>
      <c r="C34" s="28">
        <v>0.11</v>
      </c>
      <c r="D34" s="28">
        <v>0.11</v>
      </c>
      <c r="E34" s="29" t="s">
        <v>100</v>
      </c>
    </row>
    <row r="37" spans="1:5" x14ac:dyDescent="0.35">
      <c r="A37" s="4" t="s">
        <v>101</v>
      </c>
      <c r="B37" s="4"/>
      <c r="C37" s="4"/>
      <c r="D37" s="4"/>
      <c r="E37" s="4"/>
    </row>
  </sheetData>
  <mergeCells count="3">
    <mergeCell ref="A1:E1"/>
    <mergeCell ref="A3:B3"/>
    <mergeCell ref="A37:E3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0"/>
  <sheetViews>
    <sheetView topLeftCell="A23" zoomScaleNormal="100" workbookViewId="0">
      <selection activeCell="G41" sqref="G41"/>
    </sheetView>
  </sheetViews>
  <sheetFormatPr defaultColWidth="8.6328125" defaultRowHeight="14.5" x14ac:dyDescent="0.35"/>
  <cols>
    <col min="1" max="1" width="36" customWidth="1"/>
    <col min="2" max="2" width="4" customWidth="1"/>
    <col min="3" max="9" width="14" customWidth="1"/>
  </cols>
  <sheetData>
    <row r="1" spans="1:9" ht="24" customHeight="1" x14ac:dyDescent="0.4">
      <c r="A1" s="3" t="s">
        <v>102</v>
      </c>
      <c r="B1" s="3"/>
      <c r="C1" s="3"/>
      <c r="D1" s="3"/>
      <c r="E1" s="3"/>
      <c r="F1" s="3"/>
      <c r="G1" s="3"/>
      <c r="H1" s="3"/>
      <c r="I1" s="3"/>
    </row>
    <row r="2" spans="1:9" x14ac:dyDescent="0.35">
      <c r="A2" s="32"/>
      <c r="B2" s="32"/>
      <c r="C2" s="23" t="s">
        <v>103</v>
      </c>
      <c r="D2" s="23" t="s">
        <v>104</v>
      </c>
      <c r="E2" s="23" t="s">
        <v>105</v>
      </c>
      <c r="F2" s="23" t="s">
        <v>106</v>
      </c>
      <c r="G2" s="23" t="s">
        <v>43</v>
      </c>
      <c r="H2" s="23" t="s">
        <v>44</v>
      </c>
    </row>
    <row r="3" spans="1:9" x14ac:dyDescent="0.35">
      <c r="A3" s="29" t="s">
        <v>107</v>
      </c>
      <c r="B3" s="33"/>
      <c r="C3" s="34"/>
      <c r="D3" s="34"/>
      <c r="E3" s="34"/>
      <c r="F3" s="34"/>
      <c r="G3" s="34"/>
      <c r="H3" s="34"/>
    </row>
    <row r="5" spans="1:9" x14ac:dyDescent="0.35">
      <c r="A5" s="24" t="s">
        <v>108</v>
      </c>
      <c r="B5" s="25"/>
      <c r="C5" s="25"/>
      <c r="D5" s="25"/>
      <c r="E5" s="25"/>
      <c r="F5" s="25"/>
      <c r="G5" s="25"/>
      <c r="H5" s="25"/>
      <c r="I5" s="25"/>
    </row>
    <row r="6" spans="1:9" x14ac:dyDescent="0.35">
      <c r="A6" s="27" t="s">
        <v>109</v>
      </c>
      <c r="C6" s="30">
        <v>4322</v>
      </c>
      <c r="D6" s="30">
        <v>2277</v>
      </c>
      <c r="E6" s="30">
        <v>1780</v>
      </c>
      <c r="F6" s="30">
        <v>1590</v>
      </c>
      <c r="G6" s="35">
        <f>F6*(1+Assumptions!C6)</f>
        <v>1431</v>
      </c>
      <c r="H6" s="35">
        <f>G6*(1+Assumptions!D6)</f>
        <v>1287.9000000000001</v>
      </c>
    </row>
    <row r="7" spans="1:9" x14ac:dyDescent="0.35">
      <c r="A7" s="27" t="s">
        <v>110</v>
      </c>
      <c r="C7" s="30">
        <v>5126</v>
      </c>
      <c r="D7" s="30">
        <v>8551</v>
      </c>
      <c r="E7" s="30">
        <v>9069</v>
      </c>
      <c r="F7" s="30">
        <v>12044</v>
      </c>
      <c r="G7" s="35">
        <f>F7*(1+Assumptions!C7)</f>
        <v>14452.8</v>
      </c>
      <c r="H7" s="35">
        <f>G7*(1+Assumptions!D7)</f>
        <v>16620.719999999998</v>
      </c>
    </row>
    <row r="8" spans="1:9" x14ac:dyDescent="0.35">
      <c r="A8" s="27" t="s">
        <v>111</v>
      </c>
      <c r="C8" s="30">
        <v>499</v>
      </c>
      <c r="D8" s="30">
        <v>1621</v>
      </c>
      <c r="E8" s="30">
        <v>2286</v>
      </c>
      <c r="F8" s="30">
        <v>2384</v>
      </c>
      <c r="G8" s="35">
        <f>F8*(1+Assumptions!C8)</f>
        <v>2980</v>
      </c>
      <c r="H8" s="35">
        <f>G8*(1+Assumptions!D8)</f>
        <v>3576</v>
      </c>
    </row>
    <row r="9" spans="1:9" x14ac:dyDescent="0.35">
      <c r="A9" s="36" t="s">
        <v>112</v>
      </c>
      <c r="C9" s="37">
        <v>9947</v>
      </c>
      <c r="D9" s="37">
        <v>12449</v>
      </c>
      <c r="E9" s="37">
        <v>13135</v>
      </c>
      <c r="F9" s="37">
        <v>16018</v>
      </c>
      <c r="G9" s="38">
        <f>SUM(G6:G8)</f>
        <v>18863.8</v>
      </c>
      <c r="H9" s="38">
        <f>SUM(H6:H8)</f>
        <v>21484.62</v>
      </c>
    </row>
    <row r="10" spans="1:9" x14ac:dyDescent="0.35">
      <c r="A10" s="24" t="s">
        <v>113</v>
      </c>
      <c r="B10" s="25"/>
      <c r="C10" s="25"/>
      <c r="D10" s="25"/>
      <c r="E10" s="25"/>
      <c r="F10" s="25"/>
      <c r="G10" s="25"/>
      <c r="H10" s="25"/>
      <c r="I10" s="25"/>
    </row>
    <row r="11" spans="1:9" x14ac:dyDescent="0.35">
      <c r="A11" s="27" t="s">
        <v>114</v>
      </c>
      <c r="C11" s="30">
        <v>6252</v>
      </c>
      <c r="D11" s="30">
        <v>7474</v>
      </c>
      <c r="E11" s="30">
        <v>8135</v>
      </c>
      <c r="F11" s="30">
        <v>9771</v>
      </c>
      <c r="G11" s="35">
        <f>G9*Assumptions!C11</f>
        <v>11506.918</v>
      </c>
      <c r="H11" s="35">
        <f>H9*Assumptions!D11</f>
        <v>12890.771999999999</v>
      </c>
    </row>
    <row r="12" spans="1:9" x14ac:dyDescent="0.35">
      <c r="A12" s="36" t="s">
        <v>115</v>
      </c>
      <c r="C12" s="38">
        <f t="shared" ref="C12:H12" si="0">C9-C11</f>
        <v>3695</v>
      </c>
      <c r="D12" s="38">
        <f t="shared" si="0"/>
        <v>4975</v>
      </c>
      <c r="E12" s="38">
        <f t="shared" si="0"/>
        <v>5000</v>
      </c>
      <c r="F12" s="38">
        <f t="shared" si="0"/>
        <v>6247</v>
      </c>
      <c r="G12" s="38">
        <f t="shared" si="0"/>
        <v>7356.8819999999996</v>
      </c>
      <c r="H12" s="38">
        <f t="shared" si="0"/>
        <v>8593.848</v>
      </c>
    </row>
    <row r="13" spans="1:9" x14ac:dyDescent="0.35">
      <c r="A13" s="39" t="s">
        <v>116</v>
      </c>
      <c r="C13" s="40">
        <f t="shared" ref="C13:H13" si="1">IFERROR(C12/C9,"-")</f>
        <v>0.37146878455815824</v>
      </c>
      <c r="D13" s="40">
        <f t="shared" si="1"/>
        <v>0.39963049240902881</v>
      </c>
      <c r="E13" s="40">
        <f t="shared" si="1"/>
        <v>0.38066235249333841</v>
      </c>
      <c r="F13" s="40">
        <f t="shared" si="1"/>
        <v>0.38999875140466972</v>
      </c>
      <c r="G13" s="40">
        <f t="shared" si="1"/>
        <v>0.39</v>
      </c>
      <c r="H13" s="40">
        <f t="shared" si="1"/>
        <v>0.4</v>
      </c>
    </row>
    <row r="15" spans="1:9" x14ac:dyDescent="0.35">
      <c r="A15" s="24" t="s">
        <v>117</v>
      </c>
      <c r="B15" s="25"/>
      <c r="C15" s="25"/>
      <c r="D15" s="25"/>
      <c r="E15" s="25"/>
      <c r="F15" s="25"/>
      <c r="G15" s="25"/>
      <c r="H15" s="25"/>
      <c r="I15" s="25"/>
    </row>
    <row r="16" spans="1:9" x14ac:dyDescent="0.35">
      <c r="A16" s="27" t="s">
        <v>118</v>
      </c>
      <c r="C16" s="30">
        <v>4426</v>
      </c>
      <c r="D16" s="30">
        <v>2901</v>
      </c>
      <c r="E16" s="30">
        <v>1488</v>
      </c>
      <c r="F16" s="30">
        <v>1762</v>
      </c>
      <c r="G16" s="35">
        <f>G9*Assumptions!C14</f>
        <v>716.82439999999997</v>
      </c>
      <c r="H16" s="35">
        <f>H9*Assumptions!D14</f>
        <v>751.96170000000006</v>
      </c>
    </row>
    <row r="17" spans="1:9" x14ac:dyDescent="0.35">
      <c r="A17" s="27" t="s">
        <v>119</v>
      </c>
      <c r="C17" s="30">
        <v>855</v>
      </c>
      <c r="D17" s="30">
        <v>929</v>
      </c>
      <c r="E17" s="30">
        <v>893</v>
      </c>
      <c r="F17" s="30">
        <v>1041</v>
      </c>
      <c r="G17" s="35">
        <f>G9*Assumptions!C15</f>
        <v>622.50540000000001</v>
      </c>
      <c r="H17" s="35">
        <f>H9*Assumptions!D15</f>
        <v>644.53859999999997</v>
      </c>
    </row>
    <row r="18" spans="1:9" x14ac:dyDescent="0.35">
      <c r="A18" s="27" t="s">
        <v>120</v>
      </c>
      <c r="C18" s="30">
        <v>482</v>
      </c>
      <c r="D18" s="30">
        <v>517</v>
      </c>
      <c r="E18" s="30">
        <v>502</v>
      </c>
      <c r="F18" s="30">
        <v>602</v>
      </c>
      <c r="G18" s="35">
        <f>G9*Assumptions!C14</f>
        <v>716.82439999999997</v>
      </c>
      <c r="H18" s="35">
        <f>H9*Assumptions!D14</f>
        <v>751.96170000000006</v>
      </c>
    </row>
    <row r="19" spans="1:9" x14ac:dyDescent="0.35">
      <c r="A19" s="36" t="s">
        <v>121</v>
      </c>
      <c r="C19" s="38">
        <f t="shared" ref="C19:H19" si="2">SUM(C16:C18)</f>
        <v>5763</v>
      </c>
      <c r="D19" s="38">
        <f t="shared" si="2"/>
        <v>4347</v>
      </c>
      <c r="E19" s="38">
        <f t="shared" si="2"/>
        <v>2883</v>
      </c>
      <c r="F19" s="38">
        <f t="shared" si="2"/>
        <v>3405</v>
      </c>
      <c r="G19" s="38">
        <f t="shared" si="2"/>
        <v>2056.1541999999999</v>
      </c>
      <c r="H19" s="38">
        <f t="shared" si="2"/>
        <v>2148.4620000000004</v>
      </c>
    </row>
    <row r="20" spans="1:9" x14ac:dyDescent="0.35">
      <c r="A20" s="24" t="s">
        <v>122</v>
      </c>
      <c r="B20" s="25"/>
      <c r="C20" s="25"/>
      <c r="D20" s="25"/>
      <c r="E20" s="25"/>
      <c r="F20" s="25"/>
      <c r="G20" s="25"/>
      <c r="H20" s="25"/>
      <c r="I20" s="25"/>
    </row>
    <row r="21" spans="1:9" x14ac:dyDescent="0.35">
      <c r="A21" s="36" t="s">
        <v>123</v>
      </c>
      <c r="C21" s="38">
        <f t="shared" ref="C21:H21" si="3">C12-C19+C23</f>
        <v>-1588</v>
      </c>
      <c r="D21" s="38">
        <f t="shared" si="3"/>
        <v>1148</v>
      </c>
      <c r="E21" s="38">
        <f t="shared" si="3"/>
        <v>2607</v>
      </c>
      <c r="F21" s="38">
        <f t="shared" si="3"/>
        <v>3392</v>
      </c>
      <c r="G21" s="38">
        <f t="shared" si="3"/>
        <v>5923.2331999999997</v>
      </c>
      <c r="H21" s="38">
        <f t="shared" si="3"/>
        <v>7089.9245999999994</v>
      </c>
    </row>
    <row r="22" spans="1:9" x14ac:dyDescent="0.35">
      <c r="A22" s="39" t="s">
        <v>124</v>
      </c>
      <c r="C22" s="40">
        <f t="shared" ref="C22:H22" si="4">IFERROR(C21/C9,"-")</f>
        <v>-0.15964612445963608</v>
      </c>
      <c r="D22" s="40">
        <f t="shared" si="4"/>
        <v>9.2216242268455303E-2</v>
      </c>
      <c r="E22" s="40">
        <f t="shared" si="4"/>
        <v>0.19847735059002664</v>
      </c>
      <c r="F22" s="40">
        <f t="shared" si="4"/>
        <v>0.21176176801098764</v>
      </c>
      <c r="G22" s="40">
        <f t="shared" si="4"/>
        <v>0.314</v>
      </c>
      <c r="H22" s="40">
        <f t="shared" si="4"/>
        <v>0.32999999999999996</v>
      </c>
    </row>
    <row r="23" spans="1:9" x14ac:dyDescent="0.35">
      <c r="A23" s="27" t="s">
        <v>125</v>
      </c>
      <c r="C23" s="30">
        <v>480</v>
      </c>
      <c r="D23" s="30">
        <v>520</v>
      </c>
      <c r="E23" s="30">
        <v>490</v>
      </c>
      <c r="F23" s="30">
        <v>550</v>
      </c>
      <c r="G23" s="35">
        <f>G9*Assumptions!C15</f>
        <v>622.50540000000001</v>
      </c>
      <c r="H23" s="35">
        <f>H9*Assumptions!D15</f>
        <v>644.53859999999997</v>
      </c>
    </row>
    <row r="24" spans="1:9" x14ac:dyDescent="0.35">
      <c r="A24" s="36" t="s">
        <v>126</v>
      </c>
      <c r="C24" s="38">
        <f t="shared" ref="C24:H24" si="5">C12-C19</f>
        <v>-2068</v>
      </c>
      <c r="D24" s="38">
        <f t="shared" si="5"/>
        <v>628</v>
      </c>
      <c r="E24" s="38">
        <f t="shared" si="5"/>
        <v>2117</v>
      </c>
      <c r="F24" s="38">
        <f t="shared" si="5"/>
        <v>2842</v>
      </c>
      <c r="G24" s="38">
        <f t="shared" si="5"/>
        <v>5300.7277999999997</v>
      </c>
      <c r="H24" s="38">
        <f t="shared" si="5"/>
        <v>6445.3859999999995</v>
      </c>
    </row>
    <row r="25" spans="1:9" x14ac:dyDescent="0.35">
      <c r="A25" s="39" t="s">
        <v>127</v>
      </c>
      <c r="C25" s="40">
        <f t="shared" ref="C25:H25" si="6">IFERROR(C24/C9,"-")</f>
        <v>-0.20790187996380818</v>
      </c>
      <c r="D25" s="40">
        <f t="shared" si="6"/>
        <v>5.0445818941280425E-2</v>
      </c>
      <c r="E25" s="40">
        <f t="shared" si="6"/>
        <v>0.16117244004567949</v>
      </c>
      <c r="F25" s="40">
        <f t="shared" si="6"/>
        <v>0.17742539642901736</v>
      </c>
      <c r="G25" s="40">
        <f t="shared" si="6"/>
        <v>0.28099999999999997</v>
      </c>
      <c r="H25" s="40">
        <f t="shared" si="6"/>
        <v>0.3</v>
      </c>
    </row>
    <row r="27" spans="1:9" x14ac:dyDescent="0.35">
      <c r="A27" s="24" t="s">
        <v>128</v>
      </c>
      <c r="B27" s="25"/>
      <c r="C27" s="25"/>
      <c r="D27" s="25"/>
      <c r="E27" s="25"/>
      <c r="F27" s="25"/>
      <c r="G27" s="25"/>
      <c r="H27" s="25"/>
      <c r="I27" s="25"/>
    </row>
    <row r="28" spans="1:9" x14ac:dyDescent="0.35">
      <c r="A28" s="27" t="s">
        <v>129</v>
      </c>
      <c r="C28" s="30">
        <v>120</v>
      </c>
      <c r="D28" s="30">
        <v>162</v>
      </c>
      <c r="E28" s="30">
        <v>245</v>
      </c>
      <c r="F28" s="30">
        <v>380</v>
      </c>
      <c r="G28" s="35">
        <f>('Balance Sheet'!F8+'Balance Sheet'!G8)/2*Assumptions!C18</f>
        <v>32.571758904109586</v>
      </c>
      <c r="H28" s="35">
        <f>('Balance Sheet'!G8+'Balance Sheet'!H8)/2*Assumptions!D18</f>
        <v>36.4075901369863</v>
      </c>
    </row>
    <row r="29" spans="1:9" x14ac:dyDescent="0.35">
      <c r="A29" s="27" t="s">
        <v>130</v>
      </c>
      <c r="C29" s="30">
        <v>-282</v>
      </c>
      <c r="D29" s="30">
        <v>-296</v>
      </c>
      <c r="E29" s="30">
        <v>-258</v>
      </c>
      <c r="F29" s="30">
        <v>-238</v>
      </c>
      <c r="G29" s="35">
        <f>-('Balance Sheet'!F31+'Balance Sheet'!G31)/2*Assumptions!C19</f>
        <v>-192.18500000000003</v>
      </c>
      <c r="H29" s="35">
        <f>-('Balance Sheet'!G31+'Balance Sheet'!H31)/2*Assumptions!D19</f>
        <v>-170.56445000000002</v>
      </c>
    </row>
    <row r="30" spans="1:9" x14ac:dyDescent="0.35">
      <c r="A30" s="27" t="s">
        <v>131</v>
      </c>
      <c r="C30" s="30">
        <v>-48</v>
      </c>
      <c r="D30" s="30">
        <v>22</v>
      </c>
      <c r="E30" s="30">
        <v>-18</v>
      </c>
      <c r="F30" s="30">
        <v>45</v>
      </c>
      <c r="G30" s="35">
        <f>Assumptions!C20</f>
        <v>50</v>
      </c>
      <c r="H30" s="35">
        <f>Assumptions!D20</f>
        <v>60</v>
      </c>
    </row>
    <row r="31" spans="1:9" x14ac:dyDescent="0.35">
      <c r="A31" s="36" t="s">
        <v>132</v>
      </c>
      <c r="C31" s="38">
        <f t="shared" ref="C31:H31" si="7">C24+C28+C29+C30</f>
        <v>-2278</v>
      </c>
      <c r="D31" s="38">
        <f t="shared" si="7"/>
        <v>516</v>
      </c>
      <c r="E31" s="38">
        <f t="shared" si="7"/>
        <v>2086</v>
      </c>
      <c r="F31" s="38">
        <f t="shared" si="7"/>
        <v>3029</v>
      </c>
      <c r="G31" s="38">
        <f t="shared" si="7"/>
        <v>5191.1145589041089</v>
      </c>
      <c r="H31" s="38">
        <f t="shared" si="7"/>
        <v>6371.2291401369857</v>
      </c>
    </row>
    <row r="32" spans="1:9" x14ac:dyDescent="0.35">
      <c r="A32" s="27" t="s">
        <v>133</v>
      </c>
      <c r="C32" s="30">
        <v>72</v>
      </c>
      <c r="D32" s="30">
        <v>96</v>
      </c>
      <c r="E32" s="30">
        <v>151</v>
      </c>
      <c r="F32" s="30">
        <v>245</v>
      </c>
      <c r="G32" s="35">
        <f>MAX(G31*Assumptions!C21,0)</f>
        <v>415.28916471232873</v>
      </c>
      <c r="H32" s="35">
        <f>MAX(H31*Assumptions!D21,0)</f>
        <v>573.41062261232867</v>
      </c>
    </row>
    <row r="33" spans="1:9" x14ac:dyDescent="0.35">
      <c r="A33" s="41" t="s">
        <v>134</v>
      </c>
      <c r="B33" s="42"/>
      <c r="C33" s="43">
        <f t="shared" ref="C33:H33" si="8">C31-C32</f>
        <v>-2350</v>
      </c>
      <c r="D33" s="43">
        <f t="shared" si="8"/>
        <v>420</v>
      </c>
      <c r="E33" s="43">
        <f t="shared" si="8"/>
        <v>1935</v>
      </c>
      <c r="F33" s="43">
        <f t="shared" si="8"/>
        <v>2784</v>
      </c>
      <c r="G33" s="43">
        <f t="shared" si="8"/>
        <v>4775.8253941917801</v>
      </c>
      <c r="H33" s="43">
        <f t="shared" si="8"/>
        <v>5797.8185175246572</v>
      </c>
    </row>
    <row r="34" spans="1:9" x14ac:dyDescent="0.35">
      <c r="A34" s="39" t="s">
        <v>135</v>
      </c>
      <c r="C34" s="40">
        <f t="shared" ref="C34:H34" si="9">IFERROR(C33/C9,"-")</f>
        <v>-0.2362521363225093</v>
      </c>
      <c r="D34" s="40">
        <f t="shared" si="9"/>
        <v>3.3737649610410474E-2</v>
      </c>
      <c r="E34" s="40">
        <f t="shared" si="9"/>
        <v>0.14731633041492195</v>
      </c>
      <c r="F34" s="40">
        <f t="shared" si="9"/>
        <v>0.17380446997128229</v>
      </c>
      <c r="G34" s="40">
        <f t="shared" si="9"/>
        <v>0.25317408974818328</v>
      </c>
      <c r="H34" s="40">
        <f t="shared" si="9"/>
        <v>0.26985902089609487</v>
      </c>
    </row>
    <row r="36" spans="1:9" x14ac:dyDescent="0.35">
      <c r="A36" s="24" t="s">
        <v>136</v>
      </c>
      <c r="B36" s="25"/>
      <c r="C36" s="25"/>
      <c r="D36" s="25"/>
      <c r="E36" s="25"/>
      <c r="F36" s="25"/>
      <c r="G36" s="25"/>
      <c r="H36" s="25"/>
      <c r="I36" s="25"/>
    </row>
    <row r="37" spans="1:9" x14ac:dyDescent="0.35">
      <c r="A37" s="27" t="s">
        <v>137</v>
      </c>
      <c r="C37" s="30">
        <v>575</v>
      </c>
      <c r="D37" s="30">
        <v>577</v>
      </c>
      <c r="E37" s="30">
        <v>580</v>
      </c>
      <c r="F37" s="30">
        <v>582</v>
      </c>
      <c r="G37" s="35">
        <f>Assumptions!C33</f>
        <v>585</v>
      </c>
      <c r="H37" s="35">
        <f>Assumptions!D33</f>
        <v>590</v>
      </c>
    </row>
    <row r="38" spans="1:9" x14ac:dyDescent="0.35">
      <c r="A38" s="36" t="s">
        <v>138</v>
      </c>
      <c r="C38" s="44">
        <f t="shared" ref="C38:H38" si="10">IFERROR(C33/C37,"-")</f>
        <v>-4.0869565217391308</v>
      </c>
      <c r="D38" s="44">
        <f t="shared" si="10"/>
        <v>0.72790294627383012</v>
      </c>
      <c r="E38" s="44">
        <f t="shared" si="10"/>
        <v>3.3362068965517242</v>
      </c>
      <c r="F38" s="44">
        <f t="shared" si="10"/>
        <v>4.7835051546391751</v>
      </c>
      <c r="G38" s="44">
        <f t="shared" si="10"/>
        <v>8.1638040926355213</v>
      </c>
      <c r="H38" s="44">
        <f t="shared" si="10"/>
        <v>9.8268110466519616</v>
      </c>
    </row>
    <row r="40" spans="1:9" x14ac:dyDescent="0.35">
      <c r="A40" s="31" t="s">
        <v>139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4"/>
  <sheetViews>
    <sheetView tabSelected="1" topLeftCell="A18" zoomScaleNormal="100" workbookViewId="0">
      <selection activeCell="G31" sqref="G31"/>
    </sheetView>
  </sheetViews>
  <sheetFormatPr defaultColWidth="8.6328125" defaultRowHeight="14.5" x14ac:dyDescent="0.35"/>
  <cols>
    <col min="1" max="1" width="36" customWidth="1"/>
    <col min="2" max="2" width="4" customWidth="1"/>
    <col min="3" max="9" width="14" customWidth="1"/>
  </cols>
  <sheetData>
    <row r="1" spans="1:9" ht="24" customHeight="1" x14ac:dyDescent="0.4">
      <c r="A1" s="3" t="s">
        <v>140</v>
      </c>
      <c r="B1" s="3"/>
      <c r="C1" s="3"/>
      <c r="D1" s="3"/>
      <c r="E1" s="3"/>
      <c r="F1" s="3"/>
      <c r="G1" s="3"/>
      <c r="H1" s="3"/>
      <c r="I1" s="3"/>
    </row>
    <row r="2" spans="1:9" x14ac:dyDescent="0.35">
      <c r="A2" s="32"/>
      <c r="B2" s="32"/>
      <c r="C2" s="23" t="s">
        <v>103</v>
      </c>
      <c r="D2" s="23" t="s">
        <v>104</v>
      </c>
      <c r="E2" s="23" t="s">
        <v>105</v>
      </c>
      <c r="F2" s="23" t="s">
        <v>106</v>
      </c>
      <c r="G2" s="23" t="s">
        <v>43</v>
      </c>
      <c r="H2" s="23" t="s">
        <v>44</v>
      </c>
    </row>
    <row r="3" spans="1:9" x14ac:dyDescent="0.35">
      <c r="A3" s="29" t="s">
        <v>141</v>
      </c>
    </row>
    <row r="5" spans="1:9" x14ac:dyDescent="0.35">
      <c r="A5" s="24" t="s">
        <v>142</v>
      </c>
      <c r="B5" s="25"/>
      <c r="C5" s="25"/>
      <c r="D5" s="25"/>
      <c r="E5" s="25"/>
      <c r="F5" s="25"/>
      <c r="G5" s="25"/>
      <c r="H5" s="25"/>
      <c r="I5" s="25"/>
    </row>
    <row r="6" spans="1:9" x14ac:dyDescent="0.35">
      <c r="A6" s="27" t="s">
        <v>143</v>
      </c>
      <c r="C6" s="30">
        <v>7200</v>
      </c>
      <c r="D6" s="30">
        <v>6000</v>
      </c>
      <c r="E6" s="30">
        <v>7200</v>
      </c>
      <c r="F6" s="30">
        <v>9100</v>
      </c>
      <c r="G6" s="35">
        <f>'Cash Flow'!G28</f>
        <v>14029.861339397259</v>
      </c>
      <c r="H6" s="35">
        <f>'Cash Flow'!H28</f>
        <v>19981.939751168491</v>
      </c>
    </row>
    <row r="7" spans="1:9" x14ac:dyDescent="0.35">
      <c r="A7" s="27" t="s">
        <v>144</v>
      </c>
      <c r="C7" s="30">
        <v>1100</v>
      </c>
      <c r="D7" s="30">
        <v>1050</v>
      </c>
      <c r="E7" s="30">
        <v>980</v>
      </c>
      <c r="F7" s="30">
        <v>1050</v>
      </c>
      <c r="G7" s="35">
        <f>F7</f>
        <v>1050</v>
      </c>
      <c r="H7" s="35">
        <f>G7</f>
        <v>1050</v>
      </c>
    </row>
    <row r="8" spans="1:9" x14ac:dyDescent="0.35">
      <c r="A8" s="27" t="s">
        <v>145</v>
      </c>
      <c r="C8" s="30">
        <v>485</v>
      </c>
      <c r="D8" s="30">
        <v>580</v>
      </c>
      <c r="E8" s="30">
        <v>620</v>
      </c>
      <c r="F8" s="30">
        <v>750</v>
      </c>
      <c r="G8" s="35">
        <f>'Income Statement'!G9/365*Assumptions!C24</f>
        <v>878.5879452054794</v>
      </c>
      <c r="H8" s="35">
        <f>'Income Statement'!H9/365*Assumptions!D24</f>
        <v>941.79156164383562</v>
      </c>
    </row>
    <row r="9" spans="1:9" x14ac:dyDescent="0.35">
      <c r="A9" s="27" t="s">
        <v>146</v>
      </c>
      <c r="C9" s="30">
        <v>315</v>
      </c>
      <c r="D9" s="30">
        <v>250</v>
      </c>
      <c r="E9" s="30">
        <v>230</v>
      </c>
      <c r="F9" s="30">
        <v>280</v>
      </c>
      <c r="G9" s="35">
        <f>'Income Statement'!G11/365*Assumptions!C25</f>
        <v>315.25802739726026</v>
      </c>
      <c r="H9" s="35">
        <f>'Income Statement'!H11/365*Assumptions!D25</f>
        <v>317.85465205479449</v>
      </c>
    </row>
    <row r="10" spans="1:9" x14ac:dyDescent="0.35">
      <c r="A10" s="27" t="s">
        <v>147</v>
      </c>
      <c r="C10" s="30">
        <v>900</v>
      </c>
      <c r="D10" s="30">
        <v>1100</v>
      </c>
      <c r="E10" s="30">
        <v>1200</v>
      </c>
      <c r="F10" s="30">
        <v>1400</v>
      </c>
      <c r="G10" s="45">
        <f>'Income Statement'!G9*0.087</f>
        <v>1641.1505999999997</v>
      </c>
      <c r="H10" s="45">
        <f>'Income Statement'!H9*0.087</f>
        <v>1869.1619399999997</v>
      </c>
    </row>
    <row r="11" spans="1:9" x14ac:dyDescent="0.35">
      <c r="A11" s="36" t="s">
        <v>148</v>
      </c>
      <c r="C11" s="38">
        <f t="shared" ref="C11:H11" si="0">SUM(C6:C10)</f>
        <v>10000</v>
      </c>
      <c r="D11" s="38">
        <f t="shared" si="0"/>
        <v>8980</v>
      </c>
      <c r="E11" s="38">
        <f t="shared" si="0"/>
        <v>10230</v>
      </c>
      <c r="F11" s="38">
        <f t="shared" si="0"/>
        <v>12580</v>
      </c>
      <c r="G11" s="38">
        <f t="shared" si="0"/>
        <v>17914.857911999999</v>
      </c>
      <c r="H11" s="38">
        <f t="shared" si="0"/>
        <v>24160.747904867119</v>
      </c>
    </row>
    <row r="13" spans="1:9" x14ac:dyDescent="0.35">
      <c r="A13" s="46" t="s">
        <v>149</v>
      </c>
      <c r="B13" s="47"/>
      <c r="C13" s="47"/>
      <c r="D13" s="47"/>
      <c r="E13" s="47"/>
      <c r="F13" s="47"/>
      <c r="G13" s="47"/>
      <c r="H13" s="47"/>
      <c r="I13" s="47"/>
    </row>
    <row r="14" spans="1:9" x14ac:dyDescent="0.35">
      <c r="A14" s="27" t="s">
        <v>150</v>
      </c>
      <c r="C14" s="30">
        <v>950</v>
      </c>
      <c r="D14" s="30">
        <v>850</v>
      </c>
      <c r="E14" s="30">
        <v>790</v>
      </c>
      <c r="F14" s="30">
        <v>900</v>
      </c>
      <c r="G14" s="35">
        <f>F14+'Income Statement'!G9*Assumptions!C27-'Income Statement'!G23</f>
        <v>937.72760000000017</v>
      </c>
      <c r="H14" s="35">
        <f>G14+'Income Statement'!H9*Assumptions!D27-'Income Statement'!H23</f>
        <v>980.69684000000018</v>
      </c>
    </row>
    <row r="15" spans="1:9" x14ac:dyDescent="0.35">
      <c r="A15" s="27" t="s">
        <v>151</v>
      </c>
      <c r="C15" s="30">
        <v>450</v>
      </c>
      <c r="D15" s="30">
        <v>425</v>
      </c>
      <c r="E15" s="30">
        <v>410</v>
      </c>
      <c r="F15" s="30">
        <v>420</v>
      </c>
      <c r="G15" s="45">
        <f>F15</f>
        <v>420</v>
      </c>
      <c r="H15" s="45">
        <f>G15</f>
        <v>420</v>
      </c>
    </row>
    <row r="16" spans="1:9" x14ac:dyDescent="0.35">
      <c r="A16" s="27" t="s">
        <v>152</v>
      </c>
      <c r="C16" s="30">
        <v>1300</v>
      </c>
      <c r="D16" s="30">
        <v>1245</v>
      </c>
      <c r="E16" s="30">
        <v>1380</v>
      </c>
      <c r="F16" s="30">
        <v>1450</v>
      </c>
      <c r="G16" s="45">
        <f>'Income Statement'!G9*0.09</f>
        <v>1697.742</v>
      </c>
      <c r="H16" s="45">
        <f>'Income Statement'!H9*0.09</f>
        <v>1933.6157999999998</v>
      </c>
    </row>
    <row r="17" spans="1:9" x14ac:dyDescent="0.35">
      <c r="A17" s="36" t="s">
        <v>153</v>
      </c>
      <c r="C17" s="38">
        <f t="shared" ref="C17:H17" si="1">SUM(C14:C16)</f>
        <v>2700</v>
      </c>
      <c r="D17" s="38">
        <f t="shared" si="1"/>
        <v>2520</v>
      </c>
      <c r="E17" s="38">
        <f t="shared" si="1"/>
        <v>2580</v>
      </c>
      <c r="F17" s="38">
        <f t="shared" si="1"/>
        <v>2770</v>
      </c>
      <c r="G17" s="38">
        <f t="shared" si="1"/>
        <v>3055.4696000000004</v>
      </c>
      <c r="H17" s="38">
        <f t="shared" si="1"/>
        <v>3334.3126400000001</v>
      </c>
    </row>
    <row r="19" spans="1:9" x14ac:dyDescent="0.35">
      <c r="A19" s="41" t="s">
        <v>154</v>
      </c>
      <c r="B19" s="42"/>
      <c r="C19" s="43">
        <f t="shared" ref="C19:H19" si="2">C11+C17</f>
        <v>12700</v>
      </c>
      <c r="D19" s="43">
        <f t="shared" si="2"/>
        <v>11500</v>
      </c>
      <c r="E19" s="43">
        <f t="shared" si="2"/>
        <v>12810</v>
      </c>
      <c r="F19" s="43">
        <f t="shared" si="2"/>
        <v>15350</v>
      </c>
      <c r="G19" s="43">
        <f t="shared" si="2"/>
        <v>20970.327512</v>
      </c>
      <c r="H19" s="43">
        <f t="shared" si="2"/>
        <v>27495.060544867119</v>
      </c>
    </row>
    <row r="21" spans="1:9" x14ac:dyDescent="0.35">
      <c r="A21" s="24" t="s">
        <v>155</v>
      </c>
      <c r="B21" s="25"/>
      <c r="C21" s="25"/>
      <c r="D21" s="25"/>
      <c r="E21" s="25"/>
      <c r="F21" s="25"/>
      <c r="G21" s="25"/>
      <c r="H21" s="25"/>
      <c r="I21" s="25"/>
    </row>
    <row r="22" spans="1:9" x14ac:dyDescent="0.35">
      <c r="A22" s="27" t="s">
        <v>156</v>
      </c>
      <c r="C22" s="30">
        <v>700</v>
      </c>
      <c r="D22" s="30">
        <v>880</v>
      </c>
      <c r="E22" s="30">
        <v>950</v>
      </c>
      <c r="F22" s="30">
        <v>1150</v>
      </c>
      <c r="G22" s="35">
        <f>'Income Statement'!G11/365*Assumptions!C26</f>
        <v>1355.6095178082192</v>
      </c>
      <c r="H22" s="35">
        <f>'Income Statement'!H11/365*Assumptions!D26</f>
        <v>1518.6388931506847</v>
      </c>
    </row>
    <row r="23" spans="1:9" x14ac:dyDescent="0.35">
      <c r="A23" s="27" t="s">
        <v>157</v>
      </c>
      <c r="C23" s="30">
        <v>1450</v>
      </c>
      <c r="D23" s="30">
        <v>1350</v>
      </c>
      <c r="E23" s="30">
        <v>1400</v>
      </c>
      <c r="F23" s="30">
        <v>1600</v>
      </c>
      <c r="G23" s="45">
        <f>'Income Statement'!G9*0.1</f>
        <v>1886.38</v>
      </c>
      <c r="H23" s="45">
        <f>'Income Statement'!H9*0.1</f>
        <v>2148.462</v>
      </c>
    </row>
    <row r="24" spans="1:9" x14ac:dyDescent="0.35">
      <c r="A24" s="27" t="s">
        <v>158</v>
      </c>
      <c r="C24" s="30">
        <v>240</v>
      </c>
      <c r="D24" s="30">
        <v>210</v>
      </c>
      <c r="E24" s="30">
        <v>200</v>
      </c>
      <c r="F24" s="30">
        <v>220</v>
      </c>
      <c r="G24" s="45">
        <f>F24*0.97</f>
        <v>213.4</v>
      </c>
      <c r="H24" s="45">
        <f>G24*0.97</f>
        <v>206.99799999999999</v>
      </c>
    </row>
    <row r="25" spans="1:9" x14ac:dyDescent="0.35">
      <c r="A25" s="27" t="s">
        <v>159</v>
      </c>
      <c r="C25" s="30">
        <v>850</v>
      </c>
      <c r="D25" s="30">
        <v>800</v>
      </c>
      <c r="E25" s="30">
        <v>750</v>
      </c>
      <c r="F25" s="30">
        <v>700</v>
      </c>
      <c r="G25" s="45">
        <f>F25-50</f>
        <v>650</v>
      </c>
      <c r="H25" s="45">
        <f>G25-50</f>
        <v>600</v>
      </c>
    </row>
    <row r="26" spans="1:9" x14ac:dyDescent="0.35">
      <c r="A26" s="36" t="s">
        <v>160</v>
      </c>
      <c r="C26" s="38">
        <f t="shared" ref="C26:H26" si="3">SUM(C22:C25)</f>
        <v>3240</v>
      </c>
      <c r="D26" s="38">
        <f t="shared" si="3"/>
        <v>3240</v>
      </c>
      <c r="E26" s="38">
        <f t="shared" si="3"/>
        <v>3300</v>
      </c>
      <c r="F26" s="38">
        <f t="shared" si="3"/>
        <v>3670</v>
      </c>
      <c r="G26" s="38">
        <f t="shared" si="3"/>
        <v>4105.3895178082194</v>
      </c>
      <c r="H26" s="38">
        <f t="shared" si="3"/>
        <v>4474.0988931506854</v>
      </c>
    </row>
    <row r="28" spans="1:9" x14ac:dyDescent="0.35">
      <c r="A28" s="46" t="s">
        <v>161</v>
      </c>
      <c r="B28" s="47"/>
      <c r="C28" s="47"/>
      <c r="D28" s="47"/>
      <c r="E28" s="47"/>
      <c r="F28" s="47"/>
      <c r="G28" s="47"/>
      <c r="H28" s="47"/>
      <c r="I28" s="47"/>
    </row>
    <row r="29" spans="1:9" x14ac:dyDescent="0.35">
      <c r="A29" s="27" t="s">
        <v>162</v>
      </c>
      <c r="C29" s="30">
        <v>3500</v>
      </c>
      <c r="D29" s="30">
        <v>3200</v>
      </c>
      <c r="E29" s="30">
        <v>2900</v>
      </c>
      <c r="F29" s="30">
        <v>2600</v>
      </c>
      <c r="G29" s="35">
        <f>F29-Assumptions!C28</f>
        <v>2300</v>
      </c>
      <c r="H29" s="35">
        <f>G29-Assumptions!D28</f>
        <v>2000</v>
      </c>
    </row>
    <row r="30" spans="1:9" x14ac:dyDescent="0.35">
      <c r="A30" s="27" t="s">
        <v>163</v>
      </c>
      <c r="C30" s="30">
        <v>380</v>
      </c>
      <c r="D30" s="30">
        <v>350</v>
      </c>
      <c r="E30" s="30">
        <v>330</v>
      </c>
      <c r="F30" s="30">
        <v>300</v>
      </c>
      <c r="G30" s="45">
        <f>F30*0.97</f>
        <v>291</v>
      </c>
      <c r="H30" s="45">
        <f>G30*0.97</f>
        <v>282.27</v>
      </c>
    </row>
    <row r="31" spans="1:9" x14ac:dyDescent="0.35">
      <c r="A31" s="36" t="s">
        <v>164</v>
      </c>
      <c r="C31" s="38">
        <f t="shared" ref="C31:H31" si="4">SUM(C29:C30)</f>
        <v>3880</v>
      </c>
      <c r="D31" s="38">
        <f t="shared" si="4"/>
        <v>3550</v>
      </c>
      <c r="E31" s="38">
        <f t="shared" si="4"/>
        <v>3230</v>
      </c>
      <c r="F31" s="38">
        <f t="shared" si="4"/>
        <v>2900</v>
      </c>
      <c r="G31" s="38">
        <f t="shared" si="4"/>
        <v>2591</v>
      </c>
      <c r="H31" s="38">
        <f t="shared" si="4"/>
        <v>2282.27</v>
      </c>
    </row>
    <row r="33" spans="1:9" x14ac:dyDescent="0.35">
      <c r="A33" s="41" t="s">
        <v>165</v>
      </c>
      <c r="B33" s="42"/>
      <c r="C33" s="43">
        <f t="shared" ref="C33:H33" si="5">C26+C31</f>
        <v>7120</v>
      </c>
      <c r="D33" s="43">
        <f t="shared" si="5"/>
        <v>6790</v>
      </c>
      <c r="E33" s="43">
        <f t="shared" si="5"/>
        <v>6530</v>
      </c>
      <c r="F33" s="43">
        <f t="shared" si="5"/>
        <v>6570</v>
      </c>
      <c r="G33" s="43">
        <f t="shared" si="5"/>
        <v>6696.3895178082194</v>
      </c>
      <c r="H33" s="43">
        <f t="shared" si="5"/>
        <v>6756.3688931506858</v>
      </c>
    </row>
    <row r="35" spans="1:9" x14ac:dyDescent="0.35">
      <c r="A35" s="24" t="s">
        <v>166</v>
      </c>
      <c r="B35" s="25"/>
      <c r="C35" s="25"/>
      <c r="D35" s="25"/>
      <c r="E35" s="25"/>
      <c r="F35" s="25"/>
      <c r="G35" s="25"/>
      <c r="H35" s="25"/>
      <c r="I35" s="25"/>
    </row>
    <row r="36" spans="1:9" x14ac:dyDescent="0.35">
      <c r="A36" s="27" t="s">
        <v>167</v>
      </c>
      <c r="C36" s="30">
        <v>7850</v>
      </c>
      <c r="D36" s="30">
        <v>8250</v>
      </c>
      <c r="E36" s="30">
        <v>8600</v>
      </c>
      <c r="F36" s="30">
        <v>9000</v>
      </c>
      <c r="G36" s="35">
        <f>F36+Assumptions!C30</f>
        <v>9550</v>
      </c>
      <c r="H36" s="35">
        <f>G36+Assumptions!D30</f>
        <v>10050</v>
      </c>
    </row>
    <row r="37" spans="1:9" x14ac:dyDescent="0.35">
      <c r="A37" s="27" t="s">
        <v>168</v>
      </c>
      <c r="C37" s="30">
        <v>-2270</v>
      </c>
      <c r="D37" s="30">
        <v>-3540</v>
      </c>
      <c r="E37" s="30">
        <v>-2320</v>
      </c>
      <c r="F37" s="30">
        <v>-220</v>
      </c>
      <c r="G37" s="35">
        <f>F37+'Income Statement'!G33</f>
        <v>4555.8253941917801</v>
      </c>
      <c r="H37" s="35">
        <f>G37+'Income Statement'!H33</f>
        <v>10353.643911716437</v>
      </c>
    </row>
    <row r="38" spans="1:9" x14ac:dyDescent="0.35">
      <c r="A38" s="36" t="s">
        <v>169</v>
      </c>
      <c r="C38" s="38">
        <f t="shared" ref="C38:H38" si="6">C36+C37</f>
        <v>5580</v>
      </c>
      <c r="D38" s="38">
        <f t="shared" si="6"/>
        <v>4710</v>
      </c>
      <c r="E38" s="38">
        <f t="shared" si="6"/>
        <v>6280</v>
      </c>
      <c r="F38" s="38">
        <f t="shared" si="6"/>
        <v>8780</v>
      </c>
      <c r="G38" s="38">
        <f t="shared" si="6"/>
        <v>14105.825394191779</v>
      </c>
      <c r="H38" s="38">
        <f t="shared" si="6"/>
        <v>20403.643911716437</v>
      </c>
    </row>
    <row r="40" spans="1:9" x14ac:dyDescent="0.35">
      <c r="A40" s="41" t="s">
        <v>170</v>
      </c>
      <c r="B40" s="42"/>
      <c r="C40" s="43">
        <f t="shared" ref="C40:H40" si="7">C33+C38</f>
        <v>12700</v>
      </c>
      <c r="D40" s="43">
        <f t="shared" si="7"/>
        <v>11500</v>
      </c>
      <c r="E40" s="43">
        <f t="shared" si="7"/>
        <v>12810</v>
      </c>
      <c r="F40" s="43">
        <f t="shared" si="7"/>
        <v>15350</v>
      </c>
      <c r="G40" s="43">
        <f t="shared" si="7"/>
        <v>20802.214911999999</v>
      </c>
      <c r="H40" s="43">
        <f t="shared" si="7"/>
        <v>27160.012804867125</v>
      </c>
    </row>
    <row r="42" spans="1:9" x14ac:dyDescent="0.35">
      <c r="A42" s="31" t="s">
        <v>171</v>
      </c>
      <c r="C42" s="48">
        <f t="shared" ref="C42:H42" si="8">C19-C40</f>
        <v>0</v>
      </c>
      <c r="D42" s="48">
        <f t="shared" si="8"/>
        <v>0</v>
      </c>
      <c r="E42" s="48">
        <f t="shared" si="8"/>
        <v>0</v>
      </c>
      <c r="F42" s="48">
        <f t="shared" si="8"/>
        <v>0</v>
      </c>
      <c r="G42" s="48">
        <f t="shared" si="8"/>
        <v>168.11260000000038</v>
      </c>
      <c r="H42" s="48">
        <f t="shared" si="8"/>
        <v>335.04773999999452</v>
      </c>
    </row>
    <row r="44" spans="1:9" x14ac:dyDescent="0.35">
      <c r="A44" s="31" t="s">
        <v>139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3"/>
  <sheetViews>
    <sheetView topLeftCell="A13" zoomScaleNormal="100" workbookViewId="0">
      <selection activeCell="C30" sqref="C30"/>
    </sheetView>
  </sheetViews>
  <sheetFormatPr defaultColWidth="8.6328125" defaultRowHeight="14.5" x14ac:dyDescent="0.35"/>
  <cols>
    <col min="1" max="1" width="42" customWidth="1"/>
    <col min="2" max="2" width="4" customWidth="1"/>
    <col min="3" max="9" width="14" customWidth="1"/>
  </cols>
  <sheetData>
    <row r="1" spans="1:9" ht="24" customHeight="1" x14ac:dyDescent="0.4">
      <c r="A1" s="3" t="s">
        <v>172</v>
      </c>
      <c r="B1" s="3"/>
      <c r="C1" s="3"/>
      <c r="D1" s="3"/>
      <c r="E1" s="3"/>
      <c r="F1" s="3"/>
      <c r="G1" s="3"/>
      <c r="H1" s="3"/>
      <c r="I1" s="3"/>
    </row>
    <row r="2" spans="1:9" x14ac:dyDescent="0.35">
      <c r="A2" s="32"/>
      <c r="B2" s="32"/>
      <c r="C2" s="23" t="s">
        <v>103</v>
      </c>
      <c r="D2" s="23" t="s">
        <v>104</v>
      </c>
      <c r="E2" s="23" t="s">
        <v>105</v>
      </c>
      <c r="F2" s="23" t="s">
        <v>106</v>
      </c>
      <c r="G2" s="23" t="s">
        <v>43</v>
      </c>
      <c r="H2" s="23" t="s">
        <v>44</v>
      </c>
    </row>
    <row r="3" spans="1:9" x14ac:dyDescent="0.35">
      <c r="A3" s="29" t="s">
        <v>141</v>
      </c>
    </row>
    <row r="5" spans="1:9" x14ac:dyDescent="0.35">
      <c r="A5" s="24" t="s">
        <v>173</v>
      </c>
      <c r="B5" s="25"/>
      <c r="C5" s="25"/>
      <c r="D5" s="25"/>
      <c r="E5" s="25"/>
      <c r="F5" s="25"/>
      <c r="G5" s="25"/>
      <c r="H5" s="25"/>
      <c r="I5" s="25"/>
    </row>
    <row r="6" spans="1:9" x14ac:dyDescent="0.35">
      <c r="A6" s="27" t="s">
        <v>134</v>
      </c>
      <c r="C6" s="30">
        <v>-2350</v>
      </c>
      <c r="D6" s="30">
        <v>420</v>
      </c>
      <c r="E6" s="30">
        <v>1806</v>
      </c>
      <c r="F6" s="30">
        <v>2784</v>
      </c>
      <c r="G6" s="35">
        <f>'Income Statement'!G33</f>
        <v>4775.8253941917801</v>
      </c>
      <c r="H6" s="35">
        <f>'Income Statement'!H33</f>
        <v>5797.8185175246572</v>
      </c>
    </row>
    <row r="7" spans="1:9" x14ac:dyDescent="0.35">
      <c r="A7" s="27" t="s">
        <v>174</v>
      </c>
      <c r="C7" s="30">
        <v>480</v>
      </c>
      <c r="D7" s="30">
        <v>520</v>
      </c>
      <c r="E7" s="30">
        <v>490</v>
      </c>
      <c r="F7" s="30">
        <v>550</v>
      </c>
      <c r="G7" s="35">
        <f>'Income Statement'!G23</f>
        <v>622.50540000000001</v>
      </c>
      <c r="H7" s="35">
        <f>'Income Statement'!H23</f>
        <v>644.53859999999997</v>
      </c>
    </row>
    <row r="8" spans="1:9" x14ac:dyDescent="0.35">
      <c r="A8" s="27" t="s">
        <v>175</v>
      </c>
      <c r="C8" s="30">
        <v>650</v>
      </c>
      <c r="D8" s="30">
        <v>700</v>
      </c>
      <c r="E8" s="30">
        <v>530</v>
      </c>
      <c r="F8" s="30">
        <v>580</v>
      </c>
      <c r="G8" s="35">
        <f>Assumptions!C29</f>
        <v>550</v>
      </c>
      <c r="H8" s="35">
        <f>Assumptions!D29</f>
        <v>500</v>
      </c>
    </row>
    <row r="9" spans="1:9" x14ac:dyDescent="0.35">
      <c r="A9" s="27" t="s">
        <v>176</v>
      </c>
      <c r="C9" s="30">
        <v>-120</v>
      </c>
      <c r="D9" s="30">
        <v>-95</v>
      </c>
      <c r="E9" s="30">
        <v>-40</v>
      </c>
      <c r="F9" s="30">
        <v>-130</v>
      </c>
      <c r="G9" s="35">
        <f>-('Balance Sheet'!G8-'Balance Sheet'!F8)</f>
        <v>-128.5879452054794</v>
      </c>
      <c r="H9" s="35">
        <f>-('Balance Sheet'!H8-'Balance Sheet'!G8)</f>
        <v>-63.203616438356221</v>
      </c>
    </row>
    <row r="10" spans="1:9" x14ac:dyDescent="0.35">
      <c r="A10" s="27" t="s">
        <v>177</v>
      </c>
      <c r="C10" s="30">
        <v>-85</v>
      </c>
      <c r="D10" s="30">
        <v>65</v>
      </c>
      <c r="E10" s="30">
        <v>20</v>
      </c>
      <c r="F10" s="30">
        <v>-50</v>
      </c>
      <c r="G10" s="35">
        <f>-('Balance Sheet'!G9-'Balance Sheet'!F9)</f>
        <v>-35.258027397260264</v>
      </c>
      <c r="H10" s="35">
        <f>-('Balance Sheet'!H9-'Balance Sheet'!G9)</f>
        <v>-2.5966246575342211</v>
      </c>
    </row>
    <row r="11" spans="1:9" x14ac:dyDescent="0.35">
      <c r="A11" s="27" t="s">
        <v>178</v>
      </c>
      <c r="C11" s="30">
        <v>200</v>
      </c>
      <c r="D11" s="30">
        <v>180</v>
      </c>
      <c r="E11" s="30">
        <v>70</v>
      </c>
      <c r="F11" s="30">
        <v>200</v>
      </c>
      <c r="G11" s="35">
        <f>'Balance Sheet'!G22-'Balance Sheet'!F22</f>
        <v>205.60951780821915</v>
      </c>
      <c r="H11" s="35">
        <f>'Balance Sheet'!H22-'Balance Sheet'!G22</f>
        <v>163.02937534246553</v>
      </c>
    </row>
    <row r="12" spans="1:9" x14ac:dyDescent="0.35">
      <c r="A12" s="27" t="s">
        <v>179</v>
      </c>
      <c r="C12" s="30">
        <v>-175</v>
      </c>
      <c r="D12" s="30">
        <v>-70</v>
      </c>
      <c r="E12" s="30">
        <v>-5</v>
      </c>
      <c r="F12" s="30">
        <v>-4</v>
      </c>
      <c r="G12" s="45">
        <v>0</v>
      </c>
      <c r="H12" s="45">
        <v>0</v>
      </c>
    </row>
    <row r="13" spans="1:9" x14ac:dyDescent="0.35">
      <c r="A13" s="36" t="s">
        <v>180</v>
      </c>
      <c r="C13" s="37">
        <v>-1400</v>
      </c>
      <c r="D13" s="37">
        <v>1720</v>
      </c>
      <c r="E13" s="37">
        <v>2871</v>
      </c>
      <c r="F13" s="37">
        <v>3930</v>
      </c>
      <c r="G13" s="38">
        <f>SUM(G6:G12)</f>
        <v>5990.0943393972593</v>
      </c>
      <c r="H13" s="38">
        <f>SUM(H6:H12)</f>
        <v>7039.5862517712321</v>
      </c>
    </row>
    <row r="15" spans="1:9" x14ac:dyDescent="0.35">
      <c r="A15" s="24" t="s">
        <v>181</v>
      </c>
      <c r="B15" s="25"/>
      <c r="C15" s="25"/>
      <c r="D15" s="25"/>
      <c r="E15" s="25"/>
      <c r="F15" s="25"/>
      <c r="G15" s="25"/>
      <c r="H15" s="25"/>
      <c r="I15" s="25"/>
    </row>
    <row r="16" spans="1:9" x14ac:dyDescent="0.35">
      <c r="A16" s="27" t="s">
        <v>182</v>
      </c>
      <c r="C16" s="30">
        <v>-410</v>
      </c>
      <c r="D16" s="30">
        <v>-420</v>
      </c>
      <c r="E16" s="30">
        <v>-430</v>
      </c>
      <c r="F16" s="30">
        <v>-560</v>
      </c>
      <c r="G16" s="35">
        <f>-'Income Statement'!G9*Assumptions!C27</f>
        <v>-660.23300000000006</v>
      </c>
      <c r="H16" s="35">
        <f>-'Income Statement'!H9*Assumptions!D27</f>
        <v>-687.50783999999999</v>
      </c>
    </row>
    <row r="17" spans="1:9" x14ac:dyDescent="0.35">
      <c r="A17" s="27" t="s">
        <v>183</v>
      </c>
      <c r="C17" s="30">
        <v>-1290</v>
      </c>
      <c r="D17" s="30">
        <v>-480</v>
      </c>
      <c r="E17" s="30">
        <v>-330</v>
      </c>
      <c r="F17" s="30">
        <v>-290</v>
      </c>
      <c r="G17" s="30">
        <v>-200</v>
      </c>
      <c r="H17" s="30">
        <v>-200</v>
      </c>
    </row>
    <row r="18" spans="1:9" x14ac:dyDescent="0.35">
      <c r="A18" s="36" t="s">
        <v>184</v>
      </c>
      <c r="C18" s="37">
        <v>-1700</v>
      </c>
      <c r="D18" s="37">
        <v>-900</v>
      </c>
      <c r="E18" s="37">
        <v>-760</v>
      </c>
      <c r="F18" s="37">
        <v>-850</v>
      </c>
      <c r="G18" s="38">
        <f>SUM(G16:G17)</f>
        <v>-860.23300000000006</v>
      </c>
      <c r="H18" s="38">
        <f>SUM(H16:H17)</f>
        <v>-887.50783999999999</v>
      </c>
    </row>
    <row r="20" spans="1:9" x14ac:dyDescent="0.35">
      <c r="A20" s="24" t="s">
        <v>185</v>
      </c>
      <c r="B20" s="25"/>
      <c r="C20" s="25"/>
      <c r="D20" s="25"/>
      <c r="E20" s="25"/>
      <c r="F20" s="25"/>
      <c r="G20" s="25"/>
      <c r="H20" s="25"/>
      <c r="I20" s="25"/>
    </row>
    <row r="21" spans="1:9" x14ac:dyDescent="0.35">
      <c r="A21" s="27" t="s">
        <v>186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</row>
    <row r="22" spans="1:9" x14ac:dyDescent="0.35">
      <c r="A22" s="27" t="s">
        <v>187</v>
      </c>
      <c r="C22" s="30">
        <v>500</v>
      </c>
      <c r="D22" s="30">
        <v>-300</v>
      </c>
      <c r="E22" s="30">
        <v>-300</v>
      </c>
      <c r="F22" s="30">
        <v>-300</v>
      </c>
      <c r="G22" s="35">
        <f>-Assumptions!C28</f>
        <v>-300</v>
      </c>
      <c r="H22" s="35">
        <f>-Assumptions!D28</f>
        <v>-300</v>
      </c>
    </row>
    <row r="23" spans="1:9" x14ac:dyDescent="0.35">
      <c r="A23" s="27" t="s">
        <v>188</v>
      </c>
      <c r="C23" s="30">
        <v>4850</v>
      </c>
      <c r="D23" s="30">
        <v>400</v>
      </c>
      <c r="E23" s="30">
        <v>350</v>
      </c>
      <c r="F23" s="30">
        <v>400</v>
      </c>
      <c r="G23" s="30">
        <v>100</v>
      </c>
      <c r="H23" s="30">
        <v>100</v>
      </c>
    </row>
    <row r="24" spans="1:9" x14ac:dyDescent="0.35">
      <c r="A24" s="36" t="s">
        <v>189</v>
      </c>
      <c r="C24" s="37">
        <v>4350</v>
      </c>
      <c r="D24" s="37">
        <v>100</v>
      </c>
      <c r="E24" s="37">
        <v>50</v>
      </c>
      <c r="F24" s="37">
        <v>100</v>
      </c>
      <c r="G24" s="38">
        <f>SUM(G21:G23)</f>
        <v>-200</v>
      </c>
      <c r="H24" s="38">
        <f>SUM(H21:H23)</f>
        <v>-200</v>
      </c>
    </row>
    <row r="26" spans="1:9" x14ac:dyDescent="0.35">
      <c r="A26" s="36" t="s">
        <v>190</v>
      </c>
      <c r="C26" s="37">
        <v>2250</v>
      </c>
      <c r="D26" s="37">
        <v>920</v>
      </c>
      <c r="E26" s="37">
        <v>2161</v>
      </c>
      <c r="F26" s="37">
        <v>3180</v>
      </c>
      <c r="G26" s="38">
        <f>G13+G18+G24</f>
        <v>4929.8613393972591</v>
      </c>
      <c r="H26" s="38">
        <f>H13+H18+H24</f>
        <v>5952.0784117712319</v>
      </c>
    </row>
    <row r="27" spans="1:9" x14ac:dyDescent="0.35">
      <c r="A27" s="27" t="s">
        <v>191</v>
      </c>
      <c r="C27" s="30">
        <v>2200</v>
      </c>
      <c r="D27" s="30">
        <v>7200</v>
      </c>
      <c r="E27" s="30">
        <v>6000</v>
      </c>
      <c r="F27" s="30">
        <v>7200</v>
      </c>
      <c r="G27" s="35">
        <f>'Balance Sheet'!F6</f>
        <v>9100</v>
      </c>
      <c r="H27" s="35">
        <f>'Balance Sheet'!G6</f>
        <v>14029.861339397259</v>
      </c>
    </row>
    <row r="28" spans="1:9" x14ac:dyDescent="0.35">
      <c r="A28" s="41" t="s">
        <v>192</v>
      </c>
      <c r="B28" s="42"/>
      <c r="C28" s="49">
        <v>7200</v>
      </c>
      <c r="D28" s="49">
        <v>6000</v>
      </c>
      <c r="E28" s="49">
        <v>7200</v>
      </c>
      <c r="F28" s="49">
        <v>9100</v>
      </c>
      <c r="G28" s="43">
        <f>G27+G26</f>
        <v>14029.861339397259</v>
      </c>
      <c r="H28" s="43">
        <f>H27+H26</f>
        <v>19981.939751168491</v>
      </c>
    </row>
    <row r="29" spans="1:9" x14ac:dyDescent="0.35">
      <c r="A29" s="24" t="s">
        <v>193</v>
      </c>
      <c r="B29" s="25"/>
      <c r="C29" s="25"/>
      <c r="D29" s="25"/>
      <c r="E29" s="25"/>
      <c r="F29" s="25"/>
      <c r="G29" s="25"/>
      <c r="H29" s="25"/>
      <c r="I29" s="25"/>
    </row>
    <row r="30" spans="1:9" x14ac:dyDescent="0.35">
      <c r="A30" s="36" t="s">
        <v>194</v>
      </c>
      <c r="C30" s="30">
        <v>-1810</v>
      </c>
      <c r="D30" s="30">
        <v>1300</v>
      </c>
      <c r="E30" s="30">
        <v>2441</v>
      </c>
      <c r="F30" s="30">
        <v>3370</v>
      </c>
      <c r="G30" s="48">
        <f>G13+G16</f>
        <v>5329.8613393972591</v>
      </c>
      <c r="H30" s="48">
        <f>H13+H16</f>
        <v>6352.0784117712319</v>
      </c>
    </row>
    <row r="31" spans="1:9" x14ac:dyDescent="0.35">
      <c r="A31" s="39" t="s">
        <v>195</v>
      </c>
      <c r="C31" s="40">
        <f>IFERROR(C30/'Income Statement'!C9,"-")</f>
        <v>-0.18196441138031566</v>
      </c>
      <c r="D31" s="40">
        <f>IFERROR(D30/'Income Statement'!D9,"-")</f>
        <v>0.10442605831793718</v>
      </c>
      <c r="E31" s="40">
        <f>IFERROR(E30/'Income Statement'!E9,"-")</f>
        <v>0.18583936048724781</v>
      </c>
      <c r="F31" s="40">
        <f>IFERROR(F30/'Income Statement'!F9,"-")</f>
        <v>0.21038831314770884</v>
      </c>
      <c r="G31" s="40">
        <f>IFERROR(G30/'Income Statement'!G9,"-")</f>
        <v>0.28254441519721685</v>
      </c>
      <c r="H31" s="40">
        <f>IFERROR(H30/'Income Statement'!H9,"-")</f>
        <v>0.2956570054192828</v>
      </c>
    </row>
    <row r="33" spans="1:1" x14ac:dyDescent="0.35">
      <c r="A33" s="31" t="s">
        <v>139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4"/>
  <sheetViews>
    <sheetView showGridLines="0" topLeftCell="A31" zoomScaleNormal="100" workbookViewId="0">
      <selection activeCell="I43" sqref="I43"/>
    </sheetView>
  </sheetViews>
  <sheetFormatPr defaultColWidth="8.6328125" defaultRowHeight="14.5" x14ac:dyDescent="0.35"/>
  <cols>
    <col min="1" max="1" width="32" customWidth="1"/>
    <col min="2" max="8" width="15" customWidth="1"/>
  </cols>
  <sheetData>
    <row r="1" spans="1:8" ht="27.75" customHeight="1" x14ac:dyDescent="0.45">
      <c r="A1" s="11" t="s">
        <v>196</v>
      </c>
      <c r="B1" s="11"/>
      <c r="C1" s="11"/>
      <c r="D1" s="11"/>
      <c r="E1" s="11"/>
      <c r="F1" s="11"/>
      <c r="G1" s="11"/>
      <c r="H1" s="11"/>
    </row>
    <row r="2" spans="1:8" x14ac:dyDescent="0.35">
      <c r="A2" s="2" t="s">
        <v>197</v>
      </c>
      <c r="B2" s="2"/>
      <c r="C2" s="2"/>
      <c r="D2" s="2"/>
      <c r="E2" s="2"/>
      <c r="F2" s="2"/>
      <c r="G2" s="2"/>
      <c r="H2" s="2"/>
    </row>
    <row r="4" spans="1:8" x14ac:dyDescent="0.35">
      <c r="A4" s="50" t="s">
        <v>198</v>
      </c>
      <c r="B4" s="23" t="s">
        <v>103</v>
      </c>
      <c r="C4" s="23" t="s">
        <v>104</v>
      </c>
      <c r="D4" s="23" t="s">
        <v>105</v>
      </c>
      <c r="E4" s="23" t="s">
        <v>106</v>
      </c>
      <c r="F4" s="23" t="s">
        <v>43</v>
      </c>
      <c r="G4" s="23" t="s">
        <v>44</v>
      </c>
    </row>
    <row r="6" spans="1:8" x14ac:dyDescent="0.35">
      <c r="A6" s="24" t="s">
        <v>108</v>
      </c>
      <c r="B6" s="25"/>
      <c r="C6" s="25"/>
      <c r="D6" s="25"/>
      <c r="E6" s="25"/>
      <c r="F6" s="25"/>
      <c r="G6" s="25"/>
      <c r="H6" s="25"/>
    </row>
    <row r="7" spans="1:8" x14ac:dyDescent="0.35">
      <c r="A7" s="27" t="s">
        <v>199</v>
      </c>
      <c r="B7" s="45">
        <f>'Income Statement'!C9</f>
        <v>9947</v>
      </c>
      <c r="C7" s="45">
        <f>'Income Statement'!D9</f>
        <v>12449</v>
      </c>
      <c r="D7" s="45">
        <f>'Income Statement'!E9</f>
        <v>13135</v>
      </c>
      <c r="E7" s="45">
        <f>'Income Statement'!F9</f>
        <v>16018</v>
      </c>
      <c r="F7" s="45">
        <f>'Income Statement'!G9</f>
        <v>18863.8</v>
      </c>
      <c r="G7" s="45">
        <f>'Income Statement'!H9</f>
        <v>21484.62</v>
      </c>
    </row>
    <row r="8" spans="1:8" x14ac:dyDescent="0.35">
      <c r="A8" s="51" t="s">
        <v>200</v>
      </c>
      <c r="B8" s="52" t="s">
        <v>201</v>
      </c>
      <c r="C8" s="53">
        <f>IFERROR('Income Statement'!D9/'Income Statement'!C9-1,"n/m")</f>
        <v>0.25153312556549712</v>
      </c>
      <c r="D8" s="53">
        <f>IFERROR('Income Statement'!E9/'Income Statement'!D9-1,"n/m")</f>
        <v>5.5104827697003866E-2</v>
      </c>
      <c r="E8" s="53">
        <f>IFERROR('Income Statement'!F9/'Income Statement'!E9-1,"n/m")</f>
        <v>0.21948991244765903</v>
      </c>
      <c r="F8" s="53">
        <f>IFERROR('Income Statement'!G9/'Income Statement'!F9-1,"n/m")</f>
        <v>0.17766262954176537</v>
      </c>
      <c r="G8" s="53">
        <f>IFERROR('Income Statement'!H9/'Income Statement'!G9-1,"n/m")</f>
        <v>0.13893383093544243</v>
      </c>
      <c r="H8" s="47"/>
    </row>
    <row r="10" spans="1:8" x14ac:dyDescent="0.35">
      <c r="A10" s="24" t="s">
        <v>122</v>
      </c>
      <c r="B10" s="25"/>
      <c r="C10" s="25"/>
      <c r="D10" s="25"/>
      <c r="E10" s="25"/>
      <c r="F10" s="25"/>
      <c r="G10" s="25"/>
      <c r="H10" s="25"/>
    </row>
    <row r="11" spans="1:8" x14ac:dyDescent="0.35">
      <c r="A11" s="27" t="s">
        <v>202</v>
      </c>
      <c r="B11" s="45">
        <f>'Income Statement'!C12</f>
        <v>3695</v>
      </c>
      <c r="C11" s="45">
        <f>'Income Statement'!D12</f>
        <v>4975</v>
      </c>
      <c r="D11" s="45">
        <f>'Income Statement'!E12</f>
        <v>5000</v>
      </c>
      <c r="E11" s="45">
        <f>'Income Statement'!F12</f>
        <v>6247</v>
      </c>
      <c r="F11" s="45">
        <f>'Income Statement'!G12</f>
        <v>7356.8819999999996</v>
      </c>
      <c r="G11" s="45">
        <f>'Income Statement'!H12</f>
        <v>8593.848</v>
      </c>
    </row>
    <row r="12" spans="1:8" x14ac:dyDescent="0.35">
      <c r="A12" s="51" t="s">
        <v>203</v>
      </c>
      <c r="B12" s="53">
        <f>'Income Statement'!C13</f>
        <v>0.37146878455815824</v>
      </c>
      <c r="C12" s="53">
        <f>'Income Statement'!D13</f>
        <v>0.39963049240902881</v>
      </c>
      <c r="D12" s="53">
        <f>'Income Statement'!E13</f>
        <v>0.38066235249333841</v>
      </c>
      <c r="E12" s="53">
        <f>'Income Statement'!F13</f>
        <v>0.38999875140466972</v>
      </c>
      <c r="F12" s="53">
        <f>'Income Statement'!G13</f>
        <v>0.39</v>
      </c>
      <c r="G12" s="53">
        <f>'Income Statement'!H13</f>
        <v>0.4</v>
      </c>
      <c r="H12" s="47"/>
    </row>
    <row r="13" spans="1:8" x14ac:dyDescent="0.35">
      <c r="A13" s="54" t="s">
        <v>204</v>
      </c>
      <c r="B13" s="48">
        <f>'Income Statement'!C21</f>
        <v>-1588</v>
      </c>
      <c r="C13" s="48">
        <f>'Income Statement'!D21</f>
        <v>1148</v>
      </c>
      <c r="D13" s="48">
        <f>'Income Statement'!E21</f>
        <v>2607</v>
      </c>
      <c r="E13" s="48">
        <f>'Income Statement'!F21</f>
        <v>3392</v>
      </c>
      <c r="F13" s="48">
        <f>'Income Statement'!G21</f>
        <v>5923.2331999999997</v>
      </c>
      <c r="G13" s="48">
        <f>'Income Statement'!H21</f>
        <v>7089.9245999999994</v>
      </c>
    </row>
    <row r="14" spans="1:8" x14ac:dyDescent="0.35">
      <c r="A14" s="51" t="s">
        <v>205</v>
      </c>
      <c r="B14" s="53">
        <f>'Income Statement'!C22</f>
        <v>-0.15964612445963608</v>
      </c>
      <c r="C14" s="53">
        <f>'Income Statement'!D22</f>
        <v>9.2216242268455303E-2</v>
      </c>
      <c r="D14" s="53">
        <f>'Income Statement'!E22</f>
        <v>0.19847735059002664</v>
      </c>
      <c r="E14" s="53">
        <f>'Income Statement'!F22</f>
        <v>0.21176176801098764</v>
      </c>
      <c r="F14" s="53">
        <f>'Income Statement'!G22</f>
        <v>0.314</v>
      </c>
      <c r="G14" s="53">
        <f>'Income Statement'!H22</f>
        <v>0.32999999999999996</v>
      </c>
      <c r="H14" s="47"/>
    </row>
    <row r="15" spans="1:8" x14ac:dyDescent="0.35">
      <c r="A15" s="27" t="s">
        <v>206</v>
      </c>
      <c r="B15" s="45">
        <f>'Income Statement'!C24</f>
        <v>-2068</v>
      </c>
      <c r="C15" s="45">
        <f>'Income Statement'!D24</f>
        <v>628</v>
      </c>
      <c r="D15" s="45">
        <f>'Income Statement'!E24</f>
        <v>2117</v>
      </c>
      <c r="E15" s="45">
        <f>'Income Statement'!F24</f>
        <v>2842</v>
      </c>
      <c r="F15" s="45">
        <f>'Income Statement'!G24</f>
        <v>5300.7277999999997</v>
      </c>
      <c r="G15" s="45">
        <f>'Income Statement'!H24</f>
        <v>6445.3859999999995</v>
      </c>
    </row>
    <row r="16" spans="1:8" x14ac:dyDescent="0.35">
      <c r="A16" s="51" t="s">
        <v>207</v>
      </c>
      <c r="B16" s="53">
        <f>'Income Statement'!C25</f>
        <v>-0.20790187996380818</v>
      </c>
      <c r="C16" s="53">
        <f>'Income Statement'!D25</f>
        <v>5.0445818941280425E-2</v>
      </c>
      <c r="D16" s="53">
        <f>'Income Statement'!E25</f>
        <v>0.16117244004567949</v>
      </c>
      <c r="E16" s="53">
        <f>'Income Statement'!F25</f>
        <v>0.17742539642901736</v>
      </c>
      <c r="F16" s="53">
        <f>'Income Statement'!G25</f>
        <v>0.28099999999999997</v>
      </c>
      <c r="G16" s="53">
        <f>'Income Statement'!H25</f>
        <v>0.3</v>
      </c>
      <c r="H16" s="47"/>
    </row>
    <row r="17" spans="1:8" x14ac:dyDescent="0.35">
      <c r="A17" s="55" t="s">
        <v>208</v>
      </c>
      <c r="B17" s="56">
        <f>'Income Statement'!C33</f>
        <v>-2350</v>
      </c>
      <c r="C17" s="56">
        <f>'Income Statement'!D33</f>
        <v>420</v>
      </c>
      <c r="D17" s="56">
        <f>'Income Statement'!E33</f>
        <v>1935</v>
      </c>
      <c r="E17" s="56">
        <f>'Income Statement'!F33</f>
        <v>2784</v>
      </c>
      <c r="F17" s="56">
        <f>'Income Statement'!G33</f>
        <v>4775.8253941917801</v>
      </c>
      <c r="G17" s="56">
        <f>'Income Statement'!H33</f>
        <v>5797.8185175246572</v>
      </c>
    </row>
    <row r="18" spans="1:8" x14ac:dyDescent="0.35">
      <c r="A18" s="57" t="s">
        <v>209</v>
      </c>
      <c r="B18" s="58">
        <f>'Income Statement'!C34</f>
        <v>-0.2362521363225093</v>
      </c>
      <c r="C18" s="58">
        <f>'Income Statement'!D34</f>
        <v>3.3737649610410474E-2</v>
      </c>
      <c r="D18" s="58">
        <f>'Income Statement'!E34</f>
        <v>0.14731633041492195</v>
      </c>
      <c r="E18" s="58">
        <f>'Income Statement'!F34</f>
        <v>0.17380446997128229</v>
      </c>
      <c r="F18" s="58">
        <f>'Income Statement'!G34</f>
        <v>0.25317408974818328</v>
      </c>
      <c r="G18" s="58">
        <f>'Income Statement'!H34</f>
        <v>0.26985902089609487</v>
      </c>
      <c r="H18" s="47"/>
    </row>
    <row r="20" spans="1:8" x14ac:dyDescent="0.35">
      <c r="A20" s="24" t="s">
        <v>210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54" t="s">
        <v>211</v>
      </c>
      <c r="B21" s="48">
        <f>'Cash Flow'!C30</f>
        <v>-1810</v>
      </c>
      <c r="C21" s="48">
        <f>'Cash Flow'!D30</f>
        <v>1300</v>
      </c>
      <c r="D21" s="48">
        <f>'Cash Flow'!E30</f>
        <v>2441</v>
      </c>
      <c r="E21" s="48">
        <f>'Cash Flow'!F30</f>
        <v>3370</v>
      </c>
      <c r="F21" s="48">
        <f>'Cash Flow'!G30</f>
        <v>5329.8613393972591</v>
      </c>
      <c r="G21" s="48">
        <f>'Cash Flow'!H30</f>
        <v>6352.0784117712319</v>
      </c>
    </row>
    <row r="22" spans="1:8" x14ac:dyDescent="0.35">
      <c r="A22" s="51" t="s">
        <v>212</v>
      </c>
      <c r="B22" s="53">
        <f>'Cash Flow'!C31</f>
        <v>-0.18196441138031566</v>
      </c>
      <c r="C22" s="53">
        <f>'Cash Flow'!D31</f>
        <v>0.10442605831793718</v>
      </c>
      <c r="D22" s="53">
        <f>'Cash Flow'!E31</f>
        <v>0.18583936048724781</v>
      </c>
      <c r="E22" s="53">
        <f>'Cash Flow'!F31</f>
        <v>0.21038831314770884</v>
      </c>
      <c r="F22" s="53">
        <f>'Cash Flow'!G31</f>
        <v>0.28254441519721685</v>
      </c>
      <c r="G22" s="53">
        <f>'Cash Flow'!H31</f>
        <v>0.2956570054192828</v>
      </c>
      <c r="H22" s="47"/>
    </row>
    <row r="23" spans="1:8" x14ac:dyDescent="0.35">
      <c r="A23" s="27" t="s">
        <v>213</v>
      </c>
      <c r="B23" s="45">
        <f>'Balance Sheet'!C6</f>
        <v>7200</v>
      </c>
      <c r="C23" s="45">
        <f>'Balance Sheet'!D6</f>
        <v>6000</v>
      </c>
      <c r="D23" s="45">
        <f>'Balance Sheet'!E6</f>
        <v>7200</v>
      </c>
      <c r="E23" s="45">
        <f>'Balance Sheet'!F6</f>
        <v>9100</v>
      </c>
      <c r="F23" s="45">
        <f>'Balance Sheet'!G6</f>
        <v>14029.861339397259</v>
      </c>
      <c r="G23" s="45">
        <f>'Balance Sheet'!H6</f>
        <v>19981.939751168491</v>
      </c>
    </row>
    <row r="24" spans="1:8" x14ac:dyDescent="0.35">
      <c r="A24" s="47"/>
      <c r="B24" s="47"/>
      <c r="C24" s="47"/>
      <c r="D24" s="47"/>
      <c r="E24" s="47"/>
      <c r="F24" s="47"/>
      <c r="G24" s="47"/>
      <c r="H24" s="47"/>
    </row>
    <row r="25" spans="1:8" x14ac:dyDescent="0.35">
      <c r="A25" s="24" t="s">
        <v>214</v>
      </c>
      <c r="B25" s="25"/>
      <c r="C25" s="25"/>
      <c r="D25" s="25"/>
      <c r="E25" s="25"/>
      <c r="F25" s="25"/>
      <c r="G25" s="25"/>
      <c r="H25" s="25"/>
    </row>
    <row r="26" spans="1:8" x14ac:dyDescent="0.35">
      <c r="A26" s="51" t="s">
        <v>215</v>
      </c>
      <c r="B26" s="59">
        <f>'Balance Sheet'!C19</f>
        <v>12700</v>
      </c>
      <c r="C26" s="59">
        <f>'Balance Sheet'!D19</f>
        <v>11500</v>
      </c>
      <c r="D26" s="59">
        <f>'Balance Sheet'!E19</f>
        <v>12810</v>
      </c>
      <c r="E26" s="59">
        <f>'Balance Sheet'!F19</f>
        <v>15350</v>
      </c>
      <c r="F26" s="59">
        <f>'Balance Sheet'!G19</f>
        <v>20970.327512</v>
      </c>
      <c r="G26" s="59">
        <f>'Balance Sheet'!H19</f>
        <v>27495.060544867119</v>
      </c>
      <c r="H26" s="47"/>
    </row>
    <row r="27" spans="1:8" x14ac:dyDescent="0.35">
      <c r="A27" s="27" t="s">
        <v>216</v>
      </c>
      <c r="B27" s="45">
        <f>('Balance Sheet'!C29+'Balance Sheet'!C25-'Balance Sheet'!C6)</f>
        <v>-2850</v>
      </c>
      <c r="C27" s="45">
        <f>('Balance Sheet'!D29+'Balance Sheet'!D25-'Balance Sheet'!D6)</f>
        <v>-2000</v>
      </c>
      <c r="D27" s="45">
        <f>('Balance Sheet'!E29+'Balance Sheet'!E25-'Balance Sheet'!E6)</f>
        <v>-3550</v>
      </c>
      <c r="E27" s="45">
        <f>('Balance Sheet'!F29+'Balance Sheet'!F25-'Balance Sheet'!F6)</f>
        <v>-5800</v>
      </c>
      <c r="F27" s="45">
        <f>('Balance Sheet'!G29+'Balance Sheet'!G25-'Balance Sheet'!G6)</f>
        <v>-11079.861339397259</v>
      </c>
      <c r="G27" s="45">
        <f>('Balance Sheet'!H29+'Balance Sheet'!H25-'Balance Sheet'!H6)</f>
        <v>-17381.939751168491</v>
      </c>
    </row>
    <row r="28" spans="1:8" x14ac:dyDescent="0.35">
      <c r="A28" s="51" t="s">
        <v>217</v>
      </c>
      <c r="B28" s="60">
        <f>IFERROR('Balance Sheet'!C11/'Balance Sheet'!C26,"-")</f>
        <v>3.0864197530864197</v>
      </c>
      <c r="C28" s="60">
        <f>IFERROR('Balance Sheet'!D11/'Balance Sheet'!D26,"-")</f>
        <v>2.7716049382716048</v>
      </c>
      <c r="D28" s="60">
        <f>IFERROR('Balance Sheet'!E11/'Balance Sheet'!E26,"-")</f>
        <v>3.1</v>
      </c>
      <c r="E28" s="60">
        <f>IFERROR('Balance Sheet'!F11/'Balance Sheet'!F26,"-")</f>
        <v>3.4277929155313354</v>
      </c>
      <c r="F28" s="60">
        <f>IFERROR('Balance Sheet'!G11/'Balance Sheet'!G26,"-")</f>
        <v>4.3637413293646166</v>
      </c>
      <c r="G28" s="60">
        <f>IFERROR('Balance Sheet'!H11/'Balance Sheet'!H26,"-")</f>
        <v>5.4001372079312677</v>
      </c>
      <c r="H28" s="47"/>
    </row>
    <row r="29" spans="1:8" x14ac:dyDescent="0.35">
      <c r="A29" s="27" t="s">
        <v>218</v>
      </c>
      <c r="B29" s="61">
        <f>IFERROR(('Balance Sheet'!C29+'Balance Sheet'!C25)/'Balance Sheet'!C38,"-")</f>
        <v>0.77956989247311825</v>
      </c>
      <c r="C29" s="61">
        <f>IFERROR(('Balance Sheet'!D29+'Balance Sheet'!D25)/'Balance Sheet'!D38,"-")</f>
        <v>0.84925690021231426</v>
      </c>
      <c r="D29" s="61">
        <f>IFERROR(('Balance Sheet'!E29+'Balance Sheet'!E25)/'Balance Sheet'!E38,"-")</f>
        <v>0.58121019108280259</v>
      </c>
      <c r="E29" s="61">
        <f>IFERROR(('Balance Sheet'!F29+'Balance Sheet'!F25)/'Balance Sheet'!F38,"-")</f>
        <v>0.37585421412300685</v>
      </c>
      <c r="F29" s="61">
        <f>IFERROR(('Balance Sheet'!G29+'Balance Sheet'!G25)/'Balance Sheet'!G38,"-")</f>
        <v>0.20913345497773517</v>
      </c>
      <c r="G29" s="61">
        <f>IFERROR(('Balance Sheet'!H29+'Balance Sheet'!H25)/'Balance Sheet'!H38,"-")</f>
        <v>0.12742821876571739</v>
      </c>
    </row>
    <row r="30" spans="1:8" x14ac:dyDescent="0.35">
      <c r="A30" s="51" t="s">
        <v>219</v>
      </c>
      <c r="B30" s="53">
        <f>IFERROR('Income Statement'!C33/'Balance Sheet'!C38,"-")</f>
        <v>-0.4211469534050179</v>
      </c>
      <c r="C30" s="53">
        <f>IFERROR('Income Statement'!D33/'Balance Sheet'!D38,"-")</f>
        <v>8.9171974522292988E-2</v>
      </c>
      <c r="D30" s="53">
        <f>IFERROR('Income Statement'!E33/'Balance Sheet'!E38,"-")</f>
        <v>0.30812101910828027</v>
      </c>
      <c r="E30" s="53">
        <f>IFERROR('Income Statement'!F33/'Balance Sheet'!F38,"-")</f>
        <v>0.3170842824601367</v>
      </c>
      <c r="F30" s="53">
        <f>IFERROR('Income Statement'!G33/'Balance Sheet'!G38,"-")</f>
        <v>0.33857114069753591</v>
      </c>
      <c r="G30" s="53">
        <f>IFERROR('Income Statement'!H33/'Balance Sheet'!H38,"-")</f>
        <v>0.2841560332365613</v>
      </c>
      <c r="H30" s="47"/>
    </row>
    <row r="32" spans="1:8" x14ac:dyDescent="0.35">
      <c r="A32" s="46" t="s">
        <v>220</v>
      </c>
      <c r="B32" s="62">
        <f>'Income Statement'!C38</f>
        <v>-4.0869565217391308</v>
      </c>
      <c r="C32" s="62">
        <f>'Income Statement'!D38</f>
        <v>0.72790294627383012</v>
      </c>
      <c r="D32" s="62">
        <f>'Income Statement'!E38</f>
        <v>3.3362068965517242</v>
      </c>
      <c r="E32" s="62">
        <f>'Income Statement'!F38</f>
        <v>4.7835051546391751</v>
      </c>
      <c r="F32" s="62">
        <f>'Income Statement'!G38</f>
        <v>8.1638040926355213</v>
      </c>
      <c r="G32" s="62">
        <f>'Income Statement'!H38</f>
        <v>9.8268110466519616</v>
      </c>
      <c r="H32" s="47"/>
    </row>
    <row r="34" spans="1:8" x14ac:dyDescent="0.35">
      <c r="A34" s="1" t="s">
        <v>221</v>
      </c>
      <c r="B34" s="1"/>
      <c r="C34" s="1"/>
      <c r="D34" s="1"/>
      <c r="E34" s="1"/>
      <c r="F34" s="1"/>
      <c r="G34" s="1"/>
      <c r="H34" s="1"/>
    </row>
  </sheetData>
  <mergeCells count="3">
    <mergeCell ref="A1:H1"/>
    <mergeCell ref="A2:H2"/>
    <mergeCell ref="A34:H3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Assumptions</vt:lpstr>
      <vt:lpstr>Income Statement</vt:lpstr>
      <vt:lpstr>Balance Sheet</vt:lpstr>
      <vt:lpstr>Cash Flow</vt:lpstr>
      <vt:lpstr>KPI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Aung Khant Zaw</cp:lastModifiedBy>
  <cp:revision>0</cp:revision>
  <dcterms:created xsi:type="dcterms:W3CDTF">2026-04-29T12:31:48Z</dcterms:created>
  <dcterms:modified xsi:type="dcterms:W3CDTF">2026-04-29T15:24:16Z</dcterms:modified>
  <dc:language>en-US</dc:language>
</cp:coreProperties>
</file>